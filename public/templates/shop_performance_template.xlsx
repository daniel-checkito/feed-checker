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daniel.haag/feed-checker/public/templates/"/>
    </mc:Choice>
  </mc:AlternateContent>
  <xr:revisionPtr revIDLastSave="0" documentId="13_ncr:1_{92FBA665-07F2-8342-AF7E-2ED99FDE4A17}" xr6:coauthVersionLast="47" xr6:coauthVersionMax="47" xr10:uidLastSave="{00000000-0000-0000-0000-000000000000}"/>
  <bookViews>
    <workbookView xWindow="-40" yWindow="660" windowWidth="29400" windowHeight="17160" tabRatio="500" xr2:uid="{00000000-000D-0000-FFFF-FFFF00000000}"/>
  </bookViews>
  <sheets>
    <sheet name="📊 Übersicht" sheetId="1" r:id="rId1"/>
    <sheet name="📈 Umsatz" sheetId="2" r:id="rId2"/>
    <sheet name="⚖️ Parität" sheetId="3" r:id="rId3"/>
    <sheet name="🔄 Retouren &amp; Verzüge" sheetId="4" r:id="rId4"/>
    <sheet name="🛒 Sortiment" sheetId="5" r:id="rId5"/>
    <sheet name="Order_repriced" sheetId="11" r:id="rId6"/>
  </sheets>
  <definedNames>
    <definedName name="_xlchart.v1.0" hidden="1">'📈 Umsatz'!$A$4:$A$24</definedName>
    <definedName name="_xlchart.v1.1" hidden="1">'📈 Umsatz'!$C$3</definedName>
    <definedName name="_xlchart.v1.2" hidden="1">'📈 Umsatz'!$C$4:$C$24</definedName>
    <definedName name="ExterneDaten_1" localSheetId="5" hidden="1">Order_repriced!$A$1:$K$471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2" l="1"/>
  <c r="H32" i="2"/>
  <c r="H31" i="2"/>
  <c r="B25" i="2"/>
  <c r="H30" i="2" s="1"/>
  <c r="D40" i="2"/>
  <c r="D55" i="2"/>
  <c r="C25" i="2" l="1"/>
  <c r="E51" i="2" l="1"/>
  <c r="E50" i="2"/>
  <c r="E47" i="2"/>
  <c r="E46" i="2"/>
  <c r="E54" i="2"/>
  <c r="E53" i="2"/>
  <c r="E45" i="2"/>
  <c r="E52" i="2"/>
  <c r="E49" i="2"/>
  <c r="E48" i="2"/>
  <c r="D25" i="2"/>
  <c r="E40" i="2"/>
  <c r="E55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50C1BA-D1FC-DD43-9A46-1D729F7EFF3C}" keepAlive="1" name="Abfrage - 20260313_luxuskollektion-kategorien" description="Verbindung mit der Abfrage '20260313_luxuskollektion-kategorien' in der Arbeitsmappe." type="5" refreshedVersion="8" background="1" saveData="1">
    <dbPr connection="Provider=Microsoft.Mashup.OleDb.1;Data Source=$Workbook$;Location=20260313_luxuskollektion-kategorien;Extended Properties=&quot;&quot;" command="SELECT * FROM [20260313_luxuskollektion-kategorien]"/>
  </connection>
  <connection id="2" xr16:uid="{4A0CFCD7-7700-DB47-9383-A4A3441622D4}" keepAlive="1" name="Abfrage - 20260313_luxuskollektion-parity" description="Verbindung mit der Abfrage '20260313_luxuskollektion-parity' in der Arbeitsmappe." type="5" refreshedVersion="0" background="1">
    <dbPr connection="Provider=Microsoft.Mashup.OleDb.1;Data Source=$Workbook$;Location=20260313_luxuskollektion-parity;Extended Properties=&quot;&quot;" command="SELECT * FROM [20260313_luxuskollektion-parity]"/>
  </connection>
  <connection id="3" xr16:uid="{616E702C-0F23-1A4F-B7F2-8778C0274690}" keepAlive="1" name="Abfrage - 20260313_luxuskollektion-sales" description="Verbindung mit der Abfrage '20260313_luxuskollektion-sales' in der Arbeitsmappe." type="5" refreshedVersion="8" background="1" saveData="1">
    <dbPr connection="Provider=Microsoft.Mashup.OleDb.1;Data Source=$Workbook$;Location=20260313_luxuskollektion-sales;Extended Properties=&quot;&quot;" command="SELECT * FROM [20260313_luxuskollektion-sales]"/>
  </connection>
  <connection id="4" xr16:uid="{C258CF5F-49AC-BC43-BE80-C3F6F0578E2C}" keepAlive="1" name="Abfrage - export-check24-offer (12)" description="Verbindung mit der Abfrage 'export-check24-offer (12)' in der Arbeitsmappe." type="5" refreshedVersion="8" background="1" saveData="1">
    <dbPr connection="Provider=Microsoft.Mashup.OleDb.1;Data Source=$Workbook$;Location=&quot;export-check24-offer (12)&quot;;Extended Properties=&quot;&quot;" command="SELECT * FROM [export-check24-offer (12)]"/>
  </connection>
  <connection id="5" xr16:uid="{CD1B7290-C55A-9F42-BB01-4A8B0AC0A31E}" keepAlive="1" name="Abfrage - Order_repriced" description="Verbindung mit der Abfrage 'Order_repriced' in der Arbeitsmappe." type="5" refreshedVersion="8" background="1" saveData="1">
    <dbPr connection="Provider=Microsoft.Mashup.OleDb.1;Data Source=$Workbook$;Location=Order_repriced;Extended Properties=&quot;&quot;" command="SELECT * FROM [Order_repriced]"/>
  </connection>
  <connection id="6" xr16:uid="{4D184FF4-2769-F24F-8B6C-196FD4D65771}" keepAlive="1" name="Abfrage - topprodukt-luxuskollektion" description="Verbindung mit der Abfrage 'topprodukt-luxuskollektion' in der Arbeitsmappe." type="5" refreshedVersion="8" background="1" saveData="1">
    <dbPr connection="Provider=Microsoft.Mashup.OleDb.1;Data Source=$Workbook$;Location=topprodukt-luxuskollektion;Extended Properties=&quot;&quot;" command="SELECT * FROM [topprodukt-luxuskollektion]"/>
  </connection>
</connections>
</file>

<file path=xl/sharedStrings.xml><?xml version="1.0" encoding="utf-8"?>
<sst xmlns="http://schemas.openxmlformats.org/spreadsheetml/2006/main" count="2531" uniqueCount="2078">
  <si>
    <t>Schnittstelle</t>
  </si>
  <si>
    <t>Partner seit</t>
  </si>
  <si>
    <t>Provision</t>
  </si>
  <si>
    <t>Angebotsfeed</t>
  </si>
  <si>
    <t>Ansprechpartner</t>
  </si>
  <si>
    <t>Bestellpositionen</t>
  </si>
  <si>
    <t>Umsatz (€)</t>
  </si>
  <si>
    <t>Stornoquote</t>
  </si>
  <si>
    <t>Retourenquote</t>
  </si>
  <si>
    <t>Kennzahl</t>
  </si>
  <si>
    <t>Trend</t>
  </si>
  <si>
    <t>Shop-induz. Stornoquote</t>
  </si>
  <si>
    <t>Goodwill Ratio</t>
  </si>
  <si>
    <t>Verzugsquote (gesamt)</t>
  </si>
  <si>
    <t>Verzugsquote (Shop)</t>
  </si>
  <si>
    <t>Küchen Preisbombe  |  Monatsumsatz &amp; Bestellpositionen</t>
  </si>
  <si>
    <t>Monat</t>
  </si>
  <si>
    <t>Ø Warenkorbwert (€)</t>
  </si>
  <si>
    <t>Ggü. Vormonat (%)</t>
  </si>
  <si>
    <t>GESAMT</t>
  </si>
  <si>
    <t>🏆  Top 10 Produkte nach Umsatz</t>
  </si>
  <si>
    <t>#</t>
  </si>
  <si>
    <t>Produkt</t>
  </si>
  <si>
    <t>Anteil am Gesamtumsatz</t>
  </si>
  <si>
    <t>Top 10 Gesamt</t>
  </si>
  <si>
    <t>📦  Umsatz nach Kategorie</t>
  </si>
  <si>
    <t>Kategorie</t>
  </si>
  <si>
    <t>Bestellungen</t>
  </si>
  <si>
    <t>Gesamtumsatz</t>
  </si>
  <si>
    <t>Küchen Preisbombe  |  Preisparität (Plattformvergleich)</t>
  </si>
  <si>
    <t>Anteil</t>
  </si>
  <si>
    <t>Bewertung</t>
  </si>
  <si>
    <t>Bestpreis (mit Preisanpassung)</t>
  </si>
  <si>
    <t>Bestpreis (ohne Preisanpassung)</t>
  </si>
  <si>
    <t>bis 2% über Bestpreis</t>
  </si>
  <si>
    <t>2–5% über Bestpreis</t>
  </si>
  <si>
    <t>5–10% über Bestpreis</t>
  </si>
  <si>
    <t>mehr als 10% über Bestpreis</t>
  </si>
  <si>
    <t>TAGESVERLAUF PARITÄT (letzten 30 Tage)</t>
  </si>
  <si>
    <t>Datum</t>
  </si>
  <si>
    <t>Angebote</t>
  </si>
  <si>
    <t>Meta (%)</t>
  </si>
  <si>
    <t>Amazon (%)</t>
  </si>
  <si>
    <t>OTTO (%)</t>
  </si>
  <si>
    <t>Grund</t>
  </si>
  <si>
    <t>LIEFERVERZÜGE 2025</t>
  </si>
  <si>
    <t>Wert</t>
  </si>
  <si>
    <t>Verzüge gesamt (2025)</t>
  </si>
  <si>
    <t>Verzugsquote gesamt</t>
  </si>
  <si>
    <t>davon Paketware</t>
  </si>
  <si>
    <t>davon Spedition</t>
  </si>
  <si>
    <t>Verzugsquote (2024)</t>
  </si>
  <si>
    <t>Verbesserung</t>
  </si>
  <si>
    <t>Küchen Preisbombe  |  Sortiment</t>
  </si>
  <si>
    <t>SORTIMENT-ÜBERSICHT</t>
  </si>
  <si>
    <t>Anzahl</t>
  </si>
  <si>
    <t>Anteil / Hinweis</t>
  </si>
  <si>
    <t>Angebote gesamt</t>
  </si>
  <si>
    <t>Nicht vorrätig</t>
  </si>
  <si>
    <t>Jahr</t>
  </si>
  <si>
    <t>Allgemeine Daten</t>
  </si>
  <si>
    <t>ÜBERSICHT PARITÄT</t>
  </si>
  <si>
    <t>QUALITÄTSKENNZAHLEN 2024 vs 2025</t>
  </si>
  <si>
    <t xml:space="preserve"> | Partner-Analyse</t>
  </si>
  <si>
    <t>✅ POSITIV</t>
  </si>
  <si>
    <t>⚠️ NEGATIV</t>
  </si>
  <si>
    <t>Notizen:</t>
  </si>
  <si>
    <t>Superset</t>
  </si>
  <si>
    <t>seller_key</t>
  </si>
  <si>
    <t>https://superset.moebel.check24.de/superset/dashboard/24/?native_filters_key=aWJH73FN7ek</t>
  </si>
  <si>
    <t>Backoffice</t>
  </si>
  <si>
    <t>https://core-bo.moebel.check24.de/merchant/018f9ace-dd14-7736-80f2-95b36f5ce9c6</t>
  </si>
  <si>
    <t>https://n80kur7kup8p.c01-15.plentymarkets.com/rest/catalogs/export/a4180742-590d-51ff-ba26-34b7735684d1/download/public?hash=08ab4f058c8c91634326397d375767a9&amp;extension=csv</t>
  </si>
  <si>
    <t>luxuskollektion</t>
  </si>
  <si>
    <t>Michael Kurz (am Besten telefonisch: 015560036205)</t>
  </si>
  <si>
    <t>plentyOne</t>
  </si>
  <si>
    <t>Shop Performance</t>
  </si>
  <si>
    <t>Shopinduzierte Storno</t>
  </si>
  <si>
    <t>Verzugsquote durch Shop</t>
  </si>
  <si>
    <t>Verzugsquote</t>
  </si>
  <si>
    <t>Pipedrive</t>
  </si>
  <si>
    <t>https://umm.pipedrive.com/deal/27176</t>
  </si>
  <si>
    <t>Marktplätze</t>
  </si>
  <si>
    <t>Kaufland, eBay, Otto, Netto, limango und Google Shopping</t>
  </si>
  <si>
    <t>Bisher gut:</t>
  </si>
  <si>
    <t>Bisher schlecht:</t>
  </si>
  <si>
    <t>Unternehmensstruktur</t>
  </si>
  <si>
    <t>Einzelunternhemen, Teilzeit</t>
  </si>
  <si>
    <t>Umsatzentwicklung, Deals</t>
  </si>
  <si>
    <t>Produktdarstelllung, Verzugsquote, Retourenquote</t>
  </si>
  <si>
    <t>csin</t>
  </si>
  <si>
    <t>5537445AD28BFB</t>
  </si>
  <si>
    <t>Symino Gaming Stuhl Bürostuhl Hochwertiger Stoff Ergonomisch Verstellbar Grau</t>
  </si>
  <si>
    <t>ADA3282F6E9534</t>
  </si>
  <si>
    <t>LuxusKollektion Eckschreibtisch Gaming Tisch 7 Schubladen RGB LED Eckschreibtisch Stauraum L-Form 2, 179,5×133,6 cm</t>
  </si>
  <si>
    <t>7C5A23A07A62FB</t>
  </si>
  <si>
    <t>Glas Gaming Tisch LED 152x102cm RGB Eckschreibtisch L Form Musik Sync APP</t>
  </si>
  <si>
    <t>FD65FE65A83242</t>
  </si>
  <si>
    <t>LuxusKollektion Eckschreibtisch mit Schubladen, L Form, Spanplatte Weiß, 140 x 70 cm</t>
  </si>
  <si>
    <t>3413C1825CD566</t>
  </si>
  <si>
    <t>Elektrischer Fernsehsessel mit Aufstehhilfe, Massagesessel bis 220kg, Grau</t>
  </si>
  <si>
    <t>85F4AE718C0ED3</t>
  </si>
  <si>
    <t>Ergonomischer Bürostuhl 200KG Lendenwirbelstütze Rückenschmerzen Chefsessel</t>
  </si>
  <si>
    <t>907AB04BDFA6FB</t>
  </si>
  <si>
    <t>Gaming Tisch LED-Beleuchtung Steckdose Schubladen Carbon Fiber Schwarz 151×50 cm</t>
  </si>
  <si>
    <t>F23DD6868A91CA</t>
  </si>
  <si>
    <t>Schreibtisch L Form 175x100cm Gaming Tisch LED Monitorständer Steckdose Schwarz</t>
  </si>
  <si>
    <t>0FC3FCF9C1C2ED</t>
  </si>
  <si>
    <t>SONNENSCHIRM 360x270 cm Twist Ampelschirm, Kurbel, Gartenschirm, Alu Rahmen</t>
  </si>
  <si>
    <t>8DF77585995300</t>
  </si>
  <si>
    <t>Elektrischer Schreibtisch mit Schubladen, Monitorständer, Standing</t>
  </si>
  <si>
    <t>F5F20613F52872</t>
  </si>
  <si>
    <t>Elektrischer Fernsehsessel mit Aufstehhilfe, Massage, Wärme, Liegefunktion</t>
  </si>
  <si>
    <t>1119A91F7D23D2</t>
  </si>
  <si>
    <t>Sonnenliege Klappbar Gartenliege Extra Groß mit Kissen 200kg Schwarz</t>
  </si>
  <si>
    <t>23944C380A469B</t>
  </si>
  <si>
    <t>Ergonomischer Schreibtischstuhl Bürostuhl PU Leder Braun 360° Drehstuhl</t>
  </si>
  <si>
    <t>10D98D71DF08E2</t>
  </si>
  <si>
    <t>XXL Bürostuhl Ergonomisch Hohe Rückenlehne Verstellbar Hoher Komfort PU Leder</t>
  </si>
  <si>
    <t>5FF01666B48C0A</t>
  </si>
  <si>
    <t>Schminktisch LED-Beleuchtung Spiegel Make-up Organizer Hocker 2 J. Garantie</t>
  </si>
  <si>
    <t>CSIN</t>
  </si>
  <si>
    <t>Stück</t>
  </si>
  <si>
    <t>Umsatz</t>
  </si>
  <si>
    <t>tisch</t>
  </si>
  <si>
    <t>stuhl</t>
  </si>
  <si>
    <t>schutzhuelle</t>
  </si>
  <si>
    <t>sessel</t>
  </si>
  <si>
    <t>pfanne</t>
  </si>
  <si>
    <t>liege</t>
  </si>
  <si>
    <t>topf</t>
  </si>
  <si>
    <t>nachttisch</t>
  </si>
  <si>
    <t>bezug</t>
  </si>
  <si>
    <t>regal</t>
  </si>
  <si>
    <t>Hochwertiges Steakmesser Set 4-teilig Edelstahl Holzgriff Messer Set Geschenkbox</t>
  </si>
  <si>
    <t>Nestendes Rollendes Grillkorb Set Holzgriff 2 Stk 28.5cm Grill Zubehör Drehspieß</t>
  </si>
  <si>
    <t>Premium Sonnensegel 3x4m Rechteckig Wasserdicht UV-Schutz Segeltuch Garten</t>
  </si>
  <si>
    <t>Waschbare Hundedecke Grosse Hunde 120x100 cm Sofa Coral Fleece dunkelgrau</t>
  </si>
  <si>
    <t>Fenger Glas-Frischhaltedosen Set 18-teilig BPA-frei Türkis</t>
  </si>
  <si>
    <t>Glas Frischhaltedosen Set 10-teilig Behälter Deckel luftdicht BPA-frei</t>
  </si>
  <si>
    <t>Grillabdeckung 145x61x117cm Gasgrill Schutzhülle Wasserdicht Stark&amp;Robust</t>
  </si>
  <si>
    <t>MALACASA Flora Porzellan Speiseteller Set 6 teilig CremeWeiß 10.25 Zoll 6</t>
  </si>
  <si>
    <t>Induktions Pfannen Set abnehmbare Griffe antihaft stapelbar Herdarten</t>
  </si>
  <si>
    <t>Redchef 28 cm Bratpfanne mit Deckel Keramikbeschichtung Induktion Antihaft</t>
  </si>
  <si>
    <t>Redchef Keramikpfannenset Induktion Bratpfanne 28cm 24cm 20cm PTFE-frei</t>
  </si>
  <si>
    <t>3-teiliges Pfannenset Edelstahl Antihaft 20 24 28 cm Induktion Herd Backofen</t>
  </si>
  <si>
    <t>10-teiliges AIKENBBKK Antihaft Topf und Pfannenset mit Abnehmbarer Griff</t>
  </si>
  <si>
    <t>48-teiliges Unzerbrechliches Camping Geschirr Set für 4 Personen</t>
  </si>
  <si>
    <t>Plastik Schüssel Set 8 Farben 760ml wiederverwendbar langlebig Suppe Müsli Ramen</t>
  </si>
  <si>
    <t>11-teiliges CAROTE Töpfe Pfannen Set abnehmbare Griffe Antihaft Induktion</t>
  </si>
  <si>
    <t>CAROTE Töpfe Pfannen Set 17-Tlg. abnehmbare Griffe Antihaft Induktion Ofenfest</t>
  </si>
  <si>
    <t>9tlg CAROTE Topfset Pfannenset abnehmbarer Griff 26cm Induktion Antihaft</t>
  </si>
  <si>
    <t>10-teiliges CAROTE Topfset Pfannenset abnehmbare Griffe Induktion Antihaft</t>
  </si>
  <si>
    <t>Napfunterlage Silikon rutschfeste Matte Hunde Katze Wasserdicht 47 x 30cm Grau</t>
  </si>
  <si>
    <t>efluky Wäschekorb 100L Bambus Deckel faltbar XXL black Laundry Basket</t>
  </si>
  <si>
    <t>efluky 75L Wäschekorb mit Rollen und</t>
  </si>
  <si>
    <t>efluky Wäschekorb Rollen 100L Schwarz Deckel Faltbar Bambusgriffe</t>
  </si>
  <si>
    <t>efluky Wäschekorb XL 100L mit Rollen Deckel Herausnehmbarer Innentasche Grau</t>
  </si>
  <si>
    <t>Wäschekorb 60L mit Deckel Bambus Grau faltbarer Wäschesammler</t>
  </si>
  <si>
    <t>Sport Trinkflasche 1L BPA frei Tritan mit Zeitmarkierung Filter Blau</t>
  </si>
  <si>
    <t>2l Trinkflasche mit Strohhalm, Zeitmarkierung, BPA-frei Gelb Rosa</t>
  </si>
  <si>
    <t>Sahara Sailor Trinkflasche BPA-frei Tritan Blaue Wellen 32oz</t>
  </si>
  <si>
    <t>AOPREL 1L Sport Trinkflasche Wasserflasche BPA Frei Auslaufsicher Outdoor Blau</t>
  </si>
  <si>
    <t>Ohano Wasserdichter Matratzenschoner 140x200cm Dunkelgrau Spannbettlaken</t>
  </si>
  <si>
    <t>SOULFUL Bettwäsche 135x200 Milky White Baumwolle 2tlg. Stone Washed-Look</t>
  </si>
  <si>
    <t>SOULFUL Doppelte Musselin Bettwäsche 200x200 Baumwolle ÖKO-TEX</t>
  </si>
  <si>
    <t>Bettwäsche 200x200 Set Dunkelblau Mikrofaser Reißverschluss</t>
  </si>
  <si>
    <t>Bettwäsche 200x200 Lila 3tlg. Set Mikrofaser Reißverschluss Weich钮NF左Bügelfrei</t>
  </si>
  <si>
    <t>Wendebettwäsche 135x200 Grau Rosa 4tlg Mikrofaser Reißverschluss</t>
  </si>
  <si>
    <t>Bettdecke 200x200 4 Jahreszeiten Knöpfen 2teilig Set 200x200cm</t>
  </si>
  <si>
    <t>Bettdecke 240x220 4 Jahreszeiten Set 220x240cm Sommer Winter Knöpfen 2teilig</t>
  </si>
  <si>
    <t>Bettdecke 240x220 cm 300GSM Steppdecke 4 Jahreszeiten 220x240 Weich Bequem</t>
  </si>
  <si>
    <t>Bettdecke 240x260 Ganzjahresdecke Steppbettdecke 300GSM Winter 260x240 warm</t>
  </si>
  <si>
    <t>Bettdecke 200x200 4 Jahreszeiten Steppbettdecke 300GSM Flauschig &amp; Warm</t>
  </si>
  <si>
    <t>Bettdecke 155x220 Ganzjahresdecke Steppdecke 300GSM Warm Winter 4 Jahreszeiten</t>
  </si>
  <si>
    <t>Bettdecke 135x200cm 4 Jahreszeiten Ganzjahresdecke 300GSM</t>
  </si>
  <si>
    <t>Premium Orthopädisches Hundebett Grosse Hunde 105x70x18cm waschbar grau</t>
  </si>
  <si>
    <t>MALACASA Serie Regular 4tlg. Suppenteller Pastateller Porzellan 1250ml</t>
  </si>
  <si>
    <t>Vorratsdosen Set Luftdicht Aufbewahrungsbox 32er Küche Müsli Spaghetti</t>
  </si>
  <si>
    <t>EMEMA Kordsamt Kissenbezug 50x50cm Dekokissen Beige Sofa Sessel</t>
  </si>
  <si>
    <t>EMEMA 2x Kissenbezug 50x50cm Kordsamt grau Sofa Dekokissen Zierkissen</t>
  </si>
  <si>
    <t>Kissenbezüge 40x40 Creme Kordsamt Set gestreiftes Muster Dekokissen Zierkissen</t>
  </si>
  <si>
    <t>Kissenbezug 40x40 grau Kordsamt 2er Set gestreiftes Muster Sofakissen Cafehaus</t>
  </si>
  <si>
    <t>Topfinel Samt Kissenbezug 50x50 Grau 4er Set für Sofa Wohnzimmer Kinder</t>
  </si>
  <si>
    <t>Satin Kissenbezug 2er Set 50x80 Grau Haarpflege Hautpflege samtig</t>
  </si>
  <si>
    <t>Silikon Pfannenwender robust antihaft hitzebeständig BPA-frei blau 2er Set</t>
  </si>
  <si>
    <t>Grau Stretch Stehtisch Husse Ø80-85 cm Tischdecke Hochzeit Bankett Bistrotische</t>
  </si>
  <si>
    <t>10er Pack weiße rechteckige Polyester-Tischdecken 153x260 cm - Hochwertiger</t>
  </si>
  <si>
    <t>OROPY Industrieller Stil Wandmontage Kleiderstange abnehmbare Metall Schwarz</t>
  </si>
  <si>
    <t>Gartenstühle Abdeckung 6 Stühle 210D Oxford Schutzhülle Wasserdicht UV-Beständig</t>
  </si>
  <si>
    <t>Dokon 3 Sitzer Gartenbank Abdeckung Belüftungsöffnungen Schwarz 163x66x63/89cm</t>
  </si>
  <si>
    <t>Dokon Strandkorb Schutzhülle 600D Oxford Winterfest 135x105x175cm</t>
  </si>
  <si>
    <t>Dokon Strandkorb Abdeckung 135x100x165cm, Wasserdicht &amp; Winterfest</t>
  </si>
  <si>
    <t>Dokon Gartenmöbel Abdeckung 600D Oxford Gewebe 200x200x90cm</t>
  </si>
  <si>
    <t>Dokon L-Form Gartenmöbel Abdeckung 600D Oxford Winterfest Schutzhülle</t>
  </si>
  <si>
    <t>Dokon Gartenstühle Abdeckung Wasserdicht Winterfest 420D Oxford 65x85x85/120cm</t>
  </si>
  <si>
    <t>Toski Wandregal Ohne Bohren Acryl 30cm Weiß 2er Set Küchenregal Hängend</t>
  </si>
  <si>
    <t>Höhenverstellbarer Bürostuhl Stoffsitz Ergonomisch Rosa</t>
  </si>
  <si>
    <t>Bürostuhl Chefsessel Vintage Glossy PU Kunstleder Metall Rollen Braun</t>
  </si>
  <si>
    <t>ODK Gaming Schreibtisch 120x50x86.5cm Vintage Braun mit Regal &amp; Monitorständer</t>
  </si>
  <si>
    <t>Homikit Kaffeelöffel 12er Set Edelstahl Teelöffel 13,5cm Runde Griffe Glänzend</t>
  </si>
  <si>
    <t>26-teiliges Silikon Küchenhelfer Set mit Edelstahlgriff, Spülmaschinenfest</t>
  </si>
  <si>
    <t>Redchef 16-Teiliges Antihaft-Kochgeschirrset mit Abnehmbaren Griffen</t>
  </si>
  <si>
    <t>6er Set Weißer Dessertteller Porzellan Φ18cm Speiseteller erhöhter Rand</t>
  </si>
  <si>
    <t>16-teiliges Edelstahl Töpfe &amp; Pfannen Set Induktion Dampfgarer Glasdeckel</t>
  </si>
  <si>
    <t>30-teiliges Edelstahl Besteckset für 6 Personen, Spülmaschinenfest</t>
  </si>
  <si>
    <t>Silikon Muffinform für 12 Muffins, Cupcake Backform Ø 6,5 cm x 3 cm</t>
  </si>
  <si>
    <t>2er Set Edelstahl Pizzaform Antihaftbeschichtung 30cm Backblech</t>
  </si>
  <si>
    <t>Antihaftbackform Rechteckig Springform Kuchenform Viereckig Tiramisu Gold</t>
  </si>
  <si>
    <t>Walfos Trichter Edelstahl 200 Mesh Filter Jam Straining 2 abnehmbaren Sieben</t>
  </si>
  <si>
    <t>Edelstahl Nudelholz Antihaft Teigroller 40cm mit abnehmbaren Ringen</t>
  </si>
  <si>
    <t>Homikit Edelstahl Rührschüssel Set 7er Stapelbar Luftdicht Deckel</t>
  </si>
  <si>
    <t>Edelstahl Rührschüssel Set 7er Salatschüssel Luftdichtem Deckel Schwarz</t>
  </si>
  <si>
    <t>Goldbeing Kuchenheber Set Tortenheber Streichpalette Edelstahl Silber</t>
  </si>
  <si>
    <t>Kakaostreuer Cappuccino Puderzuckerstreuer Edelstahl 16 Stk Schablonen</t>
  </si>
  <si>
    <t>Satin Kissenbezug 80x80 2er Set Weich Seidenkissenbezug Curly Haar Grau</t>
  </si>
  <si>
    <t>Satin Kissenbezug 80x80 2er Set Silk Pillowcase Seidenkissenbezug Curly Haar</t>
  </si>
  <si>
    <t>Satin Kissenbezug 60x60 Set 2er Seidenkissenbezug Curly Haar Rot</t>
  </si>
  <si>
    <t>Isolierte Trinkflasche 680 ml mit Strohhalm, Deckel, Griff - Grau</t>
  </si>
  <si>
    <t>4 Latte Macchiato Gläser Doppelwandig 400ml inkl. Löffel</t>
  </si>
  <si>
    <t>Ecooe Schwarz Doppelwandige Kaffeegläser 350ml 2er Set</t>
  </si>
  <si>
    <t>Orthopädisches Nackenstützkissen Seitenschläferkissen Memory Foam 60x40x13/11cm</t>
  </si>
  <si>
    <t>Orthopädisches Kopfkissen 40x80 2er Set Premium Füllung Schwarz</t>
  </si>
  <si>
    <t>Schwarzes Hämorrhoiden Sitzkissen Memory Foam Steißbeinkissen Donut Kissen</t>
  </si>
  <si>
    <t>Orthopädisches Sitzkissen Donut Schwarz 39.5*44.5*14cm - Standard</t>
  </si>
  <si>
    <t>ZHOOGE Orthopädisches Sitzkissen Donut Schwarz 44.5 * 47.0 * 14cm Large</t>
  </si>
  <si>
    <t>Orthopädisches Nackenkissen Memory Foam höhenverstellbar kühlend für</t>
  </si>
  <si>
    <t>Orthopädisches Memory Schaum Nackenstützkissen, Kopfkissen</t>
  </si>
  <si>
    <t>Orthopädisches Memory-Schaum Sitzkissen für Steißbein Ischias Hämorrhoiden</t>
  </si>
  <si>
    <t>Orthopädisches Memory Schaum Sitzkissen Steißbein Ischias Schwarz #1</t>
  </si>
  <si>
    <t>Orthopädisches Steißbeinkissen Memory Foam Schwarz Bürostuhl Auto Rollstuhl</t>
  </si>
  <si>
    <t>4er Set Samt Kissenbezug 45x45cm quadratische Sofa Deko weiß gold</t>
  </si>
  <si>
    <t>Samt Kissenbezug 45x45cm Set quadratische dekorative Sofakissen Schwarz Gold</t>
  </si>
  <si>
    <t>XXXL Motorradabdeckplane Wasserdicht Outdoor Schutzhülle 245x105x125cm</t>
  </si>
  <si>
    <t>Abdeckung Gartenmöbel Rund 420D Oxford 230x100cm Wasserdicht</t>
  </si>
  <si>
    <t>Abdeckung Gartenmöbel 420D Oxford Wasserdicht Rund Ø250x104cm</t>
  </si>
  <si>
    <t>Sonnenschirm Schutzhülle 2-4 M Groß Ampelschirm Wetterfest UV Winddicht</t>
  </si>
  <si>
    <t>Gasgrill Abdeckung Weber Traveler LP Black 9010053 BBQ Schutzhülle 115x65x24cm</t>
  </si>
  <si>
    <t>Nomiou Abdeckung Gartenmöbel Wasserdicht Winterfest 200x100x15cm</t>
  </si>
  <si>
    <t>AZOMKER Grillabdeckung Wetterfest Gasgrill Abdeckung 77*67*110 cm</t>
  </si>
  <si>
    <t>Motorrad Abdeckplane Winterfest Wasserdicht 420D Oxford-Stoff Kennzeichenfenster</t>
  </si>
  <si>
    <t>Toptrek Fahrradabdeckung wasserdicht 420D Oxford-Gewebe 200x110x70cm</t>
  </si>
  <si>
    <t>Strandkorb Schutzhülle XXL Winterfest 135*105*175 cm wasserdicht</t>
  </si>
  <si>
    <t>Abdeckung für Gartenmöbel 180x180x74cm Wasserdicht Winterfest Oxford-Gewebe</t>
  </si>
  <si>
    <t>Dokon Abdeckung Gartenmöbel 420D Oxford Winterfest 250x250x90cm</t>
  </si>
  <si>
    <t>Dokon Gartenmöbel Abdeckung Wasserdicht 600D Oxford Gewebe Ø128x71cm</t>
  </si>
  <si>
    <t>Dokon Gartenmöbel Abdeckung 600D Oxford Wasserdicht Rund Ø163x90cm</t>
  </si>
  <si>
    <t>Enzeno Lounge Abdeckung 200x200x90cm Wasserdicht 420D Oxford Gartenmöbel</t>
  </si>
  <si>
    <t>Enzeno Abdeckung Gartenmöbel 300x200x90cm wasserdicht Oxford Material</t>
  </si>
  <si>
    <t>Raweao Schutzhülle Sonnenschirm Gartenschirm 170cm wasserdicht Oxford 420D</t>
  </si>
  <si>
    <t>Winterschutz Pflanzenschutzsack Olivenbaum 200x240cm Beige</t>
  </si>
  <si>
    <t>Poolabdeckung Rund 600D Oxford UV-Resistent Sommer Winter 390-460cm Pools</t>
  </si>
  <si>
    <t>PATWING Hollywoodschaukel Abdeckung 3-4Sitzer 600D Oxford Wasserdicht</t>
  </si>
  <si>
    <t>UIRWAY Gartenmöbel Abdeckung 200x200x90cm Wasserdicht Oxford Gewebe</t>
  </si>
  <si>
    <t>UIRWAY 244 cm Poolabdeckung 420D Winterabdeckung für Pools UV-Schutz Abdeckplane</t>
  </si>
  <si>
    <t>Runde Poolabdeckung 305 420 D UV-Schutz Oxford-Stoffplane Schwarz 305CM</t>
  </si>
  <si>
    <t>Poolabdeckung 366 rund, Uv-Schutz Abdeckplane Kordelzug, Schwarz 366CM</t>
  </si>
  <si>
    <t>Aufblasbares Poolkissen 120x120 cm Winter Luftkissen XXL Rund 366cm</t>
  </si>
  <si>
    <t>Gartenstuhl Abdeckung wasserdicht 65x65x80/120cm Air Vent 600D Abdeckung</t>
  </si>
  <si>
    <t>Strandkorb Schutzhülle 600D Oxford-Gewebe 125x90x165/135cm Wasserdicht Schwarz</t>
  </si>
  <si>
    <t>Gartenbank Abdeckung 4-Sitzer wasserdicht UV-Beständig 420D Schutzhülle</t>
  </si>
  <si>
    <t>Regenfeste Hängesessel Abdeckung 120x205 cm Schwarz</t>
  </si>
  <si>
    <t>Schuhregal 10 Ebenen Staubdichter Überzug Metallgestell für 50 Paare Schwarz</t>
  </si>
  <si>
    <t>Vicye Schuhregal 12 Ebenen Schuhschrank Hoch 72 Paar Schuhe</t>
  </si>
  <si>
    <t>Garderobenständer Schuhregal Kleiderständer Schuhschrank Greige Schwarz</t>
  </si>
  <si>
    <t>Eckregal 5 Ebenen Industriell Stabil Höhenverstellbar Schwarz HOOBRO</t>
  </si>
  <si>
    <t>Garderobenständer mit Sitzbank, 9 Haken, 6 Taschen, 2 Schuhregale, Vintage</t>
  </si>
  <si>
    <t>JOISCOPE Kleiderständer breit 170x120cm Metall Gold multifunktional mit Ablage</t>
  </si>
  <si>
    <t>Ergonomischer Bürostuhl mit Fußstütze 150°-Neigung Schwarz Mesh Rückenlehne</t>
  </si>
  <si>
    <t>ALFORDSON Bürostuhl Rosa Kopfstütze Lordosenstütze Mesh-Rückenlehne</t>
  </si>
  <si>
    <t>ALFORDSON Ergonomischer Bürostuhl mit Wärmemassagefunktion PU-Leder</t>
  </si>
  <si>
    <t>Ergonomischer Netz-Bürostuhl mit</t>
  </si>
  <si>
    <t>Ergonomischer Bürostuhl mit Massagefunktion und Fußstütze - Schwarz</t>
  </si>
  <si>
    <t>Cute Velour Gaming Stuhl mit Katzenohren und Fußstütze, Blau</t>
  </si>
  <si>
    <t>Teppich Läufer Flur rutschfest 80x120cm Lang Modern Küchenteppich Rot Kariert</t>
  </si>
  <si>
    <t>Teppich Wohnzimmer Kurzflor Moderner Flauschig Waschbar Anti-Rutsch 200x300 Grau</t>
  </si>
  <si>
    <t>NIULAA Hochflor Teppich 80x160 Modern Bunt Flauschig Weich Schlafzimmer</t>
  </si>
  <si>
    <t>Großer Teppich 200x300 cm Hochflor Creme Wohnzimmer Schlafzimmer Kinderzimmer</t>
  </si>
  <si>
    <t>Großer Hochflor Teppich Grau 200x300 Modern Anti-Rutsch Teppich waschbar</t>
  </si>
  <si>
    <t>CHOSHOME Vintage Teppich Waschbar Orientalischer Kurzflor Schlafzimmer 200x290CM</t>
  </si>
  <si>
    <t>Schwarzes Mikrofaser-Salon-Handtuch 12er Pack 40,6 x 68,9 cm</t>
  </si>
  <si>
    <t>Mikrofaser Handtuch Set 8 Farben kompakt leicht schnelltrocknend</t>
  </si>
  <si>
    <t>URAQT Herren Stofftaschentücher Set 12 Stück Baumwolle Weiß 40x40cm</t>
  </si>
  <si>
    <t>Kuscheldecke mit Ärmeln 140x170cm, Weich Warm Flauschig, TV Decke Spar</t>
  </si>
  <si>
    <t>Gaming Stuhl Stoff mit Massage Lendenwirbelstütze und Fußstütze Bürostuhl 135KG</t>
  </si>
  <si>
    <t>Gaming Stuhl Schwarz mit Fußstütze 3D Armlehne und Lendenwirbelstütze</t>
  </si>
  <si>
    <t>Gaming Stuhl Bürostuhl Drehstuhl PC Stuhl (Grün) mit Fußstütze</t>
  </si>
  <si>
    <t>Gaming Stuhl Ergonomisch Racing Bürostuhl mit Fußstütze höhenverstellbar Gray</t>
  </si>
  <si>
    <t>Gewürzregal Metall 4er Küchenregal Wand hängend Selbstklebend Platzsparend</t>
  </si>
  <si>
    <t>Gewürzregal 4 Etagen Schwarz ohne Bohren stapelbar Organizer - 1er Pack</t>
  </si>
  <si>
    <t>Duschvorhang 180x210cm Eva Transparent Antibakteriell inkl. Ringe &amp; Magnet</t>
  </si>
  <si>
    <t>Duschvorhang Überlänge Antibakteriell wasserdicht 244x180cm Lila</t>
  </si>
  <si>
    <t>Duschvorhang 240x200cm Anti-Schimmel Badvorhang PVC Textil Dunkelgrau</t>
  </si>
  <si>
    <t>Duschvorhang 180x220 Anti-schimmel Badvorhang Waschbar PVC Wasserabweisend Grau</t>
  </si>
  <si>
    <t>Badevorhang Duschvorhang Anti-schimmel Wasserdicht Waschbar 180x180 cm PEVA</t>
  </si>
  <si>
    <t>URAQT Duschvorhang Anti-schimmel Wasserdicht 180x180 cm mit 12</t>
  </si>
  <si>
    <t>Duschvorhang Anti-Schimmel Wasserdicht Schnelltrocknend PEVA 180x180 cm &amp; 12</t>
  </si>
  <si>
    <t>Duschvorhang Blau 180x200 Bunt Motiv Wasserdicht Trocknend 12 Ringe</t>
  </si>
  <si>
    <t>XINZUO Damaststahl Fischmesser 18cm Küchenmesser Profi Filetiermesser</t>
  </si>
  <si>
    <t>Klappbare Sonnenliege mit Matratze, 5-stufig verstellbar, 150kg belastbar</t>
  </si>
  <si>
    <t>KingCamp Sonnenliege Übergroß Klappbar 5-Fach Verstellbar Gartenliege bis 150 kg</t>
  </si>
  <si>
    <t>Zero Gravity Liegestuhl Gartenliege klappbar 200 kg Traglast Polster</t>
  </si>
  <si>
    <t>COITROZR Gewürzregal Wand ohne Bohren Hängend 8 Haken 2 Hängebecher 50cm Grau</t>
  </si>
  <si>
    <t>Gewürzregal hängend mit 12 Gläsern &amp; Etiketten - kein Bohren - Wand</t>
  </si>
  <si>
    <t>MIULEE Duschvorhang 150x180cm Dunkelgrau Wasserdicht Anti-schimmel Textil</t>
  </si>
  <si>
    <t>PAUDIN Messerset 5tlg. Carbon Edelstahl Küchenmesser Brotmesser Santokumesser</t>
  </si>
  <si>
    <t>15-teiliges Messerset mit Block und eingebautem Schärfer, Küchenmesser zum</t>
  </si>
  <si>
    <t>Magnetischer WALDLAND Premium Messerblock 360° drehbar Akazienholz</t>
  </si>
  <si>
    <t>Rattan Gartenmöbel-Set 5tlg. Poly Sofa Sessel Kissen Glastisch Grau &amp; Dunkelgrau</t>
  </si>
  <si>
    <t>Klappbare Sonnenliege Grand Patio Schwarz Aluminium Mesh 6-Fach Verstellbar</t>
  </si>
  <si>
    <t>Antihaft Tamagoyaki Omelette Pfanne Induktion Granitbeschichtung</t>
  </si>
  <si>
    <t>Sonnenschirm Ersatzbezug 3m Anthrazit Uv Schutz 80 Windfest Terrasse</t>
  </si>
  <si>
    <t>Faltpavillon 3x3 Wasserdicht Stabil mit Seitenwänden Gartenpavillon UV-Schutz</t>
  </si>
  <si>
    <t>Quictent Pavillon 3x3 Wasserdicht Stabil Winterfest Pop up Grau</t>
  </si>
  <si>
    <t>2,5x2,5m Doppeldach Gartenpavillon mit 4 Netz Schwarz</t>
  </si>
  <si>
    <t>COBIZI Faltpavillon 3x6 Wasserdicht Winterfest Pop Up mit 6 Seitenwänden</t>
  </si>
  <si>
    <t>30 cm Edelstahl Bratpfanne Antihaft Induktion Wok Pfanne Herd Spülmaschinen</t>
  </si>
  <si>
    <t>BLAZANT Pfannenset 7 tlg Abnehmbarer Griff Antihaft Induktion 20 24 28 cm</t>
  </si>
  <si>
    <t>Antihaft Bratpfannenset Rosa 20+24+28cm mit Deckel Induktion Granit-PFOA-frei</t>
  </si>
  <si>
    <t>Innerwell Antihaft Bratpfanne 28cm Rosa Granit Induktion PFOA-frei</t>
  </si>
  <si>
    <t>Innerwell Antihaft Bratpfanne 28 cm Große Pfanne Induktion PFOA frei Schwarz</t>
  </si>
  <si>
    <t>Bratpfanne 24cm Deckel Antihaft Kratzfest Tri-ply Edelstahl Induktion</t>
  </si>
  <si>
    <t>Beistelltisch Rund Holz Skandinavischer Stil 42x42x51CM Walnut</t>
  </si>
  <si>
    <t>Beistelltisch Rund 38x45cm Massivholz Skandinavisch Weiß/Natur</t>
  </si>
  <si>
    <t>YMYNY Beistelltisch rund gehärtetes Glas Metallrahmen 50 x 65 cm Schwarz</t>
  </si>
  <si>
    <t>Nachttisch 2er Set Schmal Beistelltisch mit Schublade offene Fächer natürlich</t>
  </si>
  <si>
    <t>DOEWORKS Aufbewahrungswagen Rollwagen Metall 3 Etagen Gelb</t>
  </si>
  <si>
    <t>Kleiner Klappbarer Schreibtisch 100 x 48 cm Beige Home Office</t>
  </si>
  <si>
    <t>Klappbarer Schreibtisch mit Rollen und Stauraum, 63 cm, Schwarz</t>
  </si>
  <si>
    <t>Couchtisch Holz Marmor Weiß Gold Metallgestell 100x48x55 cm</t>
  </si>
  <si>
    <t>Beistelltisch Rund Holz Sofatisch Kleiner Couchtisch mit Ablage H48x Ø50 cm</t>
  </si>
  <si>
    <t>HEYZOEY Moderner Holz Nachttisch mit</t>
  </si>
  <si>
    <t>Boho Rattan Nachttisch mit Schublade und Regal, Goldrahmen, Braun</t>
  </si>
  <si>
    <t>HEYZOEY Nachttisch mit 2 Schubladen Modernes Boho Design Rosa</t>
  </si>
  <si>
    <t>Servierwagen Weinregal 2 Ebenen Küchenwagen Rollen 76x40 Schwarz</t>
  </si>
  <si>
    <t>Servierwagen Rollen Küchenwagen Holz Barwagen mit Weinregal 2 Ebenen</t>
  </si>
  <si>
    <t>Klapptisch Computertisch 100x60x75 cm Schreibtisch Büro Home Office Teak</t>
  </si>
  <si>
    <t>HOOBRO Beistelltische mit Ladestation 2er-Set Nachttische USB-Anschlüssen</t>
  </si>
  <si>
    <t>Beistelltisch C Form Höhenverstellbar Klein Couch 360° Drehbarer Sofa Holz</t>
  </si>
  <si>
    <t>Runder Beistelltisch Schwarzer Bistrotisch Wohnzimmer 30x30x65cm</t>
  </si>
  <si>
    <t>Konsolentisch mit Ladestation Vintagebraun Schwarz Flurtisch 100x15x73.5 cm</t>
  </si>
  <si>
    <t>Konsolentisch mit Ladestation Vintagebraun und Schwarz 100x15x73,5cm</t>
  </si>
  <si>
    <t>Schmaler Konsolentisch mit USB-Ladestation, 160 cm, Schwarz - Wohnzimmer Flur</t>
  </si>
  <si>
    <t>Konsolentisch mit Ladestation 180 cm schwarz Schmaler Sofatisch USB-Anschlüssen</t>
  </si>
  <si>
    <t>Sofa Beistelltisch Retro Esstisch Schmaler Konsole Weiß Row Twee 158 cm</t>
  </si>
  <si>
    <t>Fokebel Outdoor Beistelltisch Metall Stahl Schwarz 40cm Durchmesser</t>
  </si>
  <si>
    <t>IBUYKE Holz Beistelltisch 2 Ebenen Nachttisch 39x29x53cm Schlafzimmer Wohnzimmer</t>
  </si>
  <si>
    <t>Couchtisch Quadrat Glas Schwarz Beistelltisch Glastisch 67x67x40 cm</t>
  </si>
  <si>
    <t>Runder Couchtisch Rauchglas Grau Ø80cm Moderner Sofatisch</t>
  </si>
  <si>
    <t>MEEDEN Vintage Holz-Zeichentisch Künstler-Zeichenhocker 96x60cm Verstellbare</t>
  </si>
  <si>
    <t>Höhenverstellbarer Schreibtisch 100x60 cm Standing Desk Weiß Beige</t>
  </si>
  <si>
    <t>Höhenverstellbarer Schreibtisch 100x60 cm Elektrisch, Standing Desk</t>
  </si>
  <si>
    <t>ODK Eckschreibtisch 4 Schubladen USB LED Monitorständer 167×102cm Vintage-Braun</t>
  </si>
  <si>
    <t>ODK L-förmiger Schreibtisch Eckschreibtisch USB-Ladeanschluss 4 Schubladen 140cm</t>
  </si>
  <si>
    <t>ODK Gaming Schreibtisch L-Form Weiß mit Großem Stauraum 150×102cm</t>
  </si>
  <si>
    <t>ODK Gaming Tisch LED L Form 2 Steckdosen 2 USB 150x120 cm Vintage-Braun</t>
  </si>
  <si>
    <t>Gaming Tisch LED Reversibel Schwarz Schreibtisch L-Form 2 USB 2 Steckdosen</t>
  </si>
  <si>
    <t>ODK Schreibtisch 140x52x92cm Weiß Gaming Tisch mit 4 Schubladen und USB Ports</t>
  </si>
  <si>
    <t>Eckschreibtisch Schwarz L Form mit Schubladen, Steckdosen, USB, Stauraum</t>
  </si>
  <si>
    <t>ODK Schreibtisch L Form Weiß 168x80cm USB-Ladeanschluss&amp;Steckdose</t>
  </si>
  <si>
    <t>Eckschreibtisch Weiß 140x80cm Gaming Tisch L Form LED USB&amp;Cable Management</t>
  </si>
  <si>
    <t>Gaming Tisch LED Eckschreibtisch 2 Steckdosen USB Kohlefaser Schwarz 168×120cm</t>
  </si>
  <si>
    <t>Elektrischer höhenverstellbarer Schreibtisch 160x60cm Memory-Handsteuerung</t>
  </si>
  <si>
    <t>Höhenverstellbarer Schreibtisch Tastaturablage 140x60cm elektrischer</t>
  </si>
  <si>
    <t>Gaming Schreibtisch L Form LED 120x80cm Eckschreibtisch Weiß mit Regal</t>
  </si>
  <si>
    <t>L-förmiger Schreibtisch mit Stoff Schubladen, Aktenschublade, USB-Ladeanschluss</t>
  </si>
  <si>
    <t>Gaming Tisch LED-Beleuchtung Monitorständer USB-Stauraum 120x50cm</t>
  </si>
  <si>
    <t>L-förmiger Gaming Schreibtisch mit Schubladen, Steckdose, LED, Monitorständer</t>
  </si>
  <si>
    <t>Coleshome Schreibtisch mit 5 Schubladen Stoff Monitorständer LED 160x48cm</t>
  </si>
  <si>
    <t>Gaming Schreibtisch mit 5 Schubladen und LED-Leuchten 160x48cm Schwarz</t>
  </si>
  <si>
    <t>Höhenverstellbarer Eckschreibtisch 160cm mit 4 Schubladen und Steckdose - Braun</t>
  </si>
  <si>
    <t>Gaming Tisch 7 Schubladen Großzügiger Stauraum RGB LED Schwarz 199.5×145.5cm</t>
  </si>
  <si>
    <t>Gaming Tisch RGB LED Schreibtisch L Form 7 Schubladen 179.5×135.5cm</t>
  </si>
  <si>
    <t>Höhenverstellbarer Schreibtisch 120cm Elektrisch mit Schubladen</t>
  </si>
  <si>
    <t>Elektrischer Höhenverstellbarer Schreibtisch 110x60cm Schwarz Walnuss</t>
  </si>
  <si>
    <t>Höhenverstellbarer Laptoptisch mit Rollen und Maustablett</t>
  </si>
  <si>
    <t>Schminktisch LED mit Spiegel Steckdose 2 Schubladen Helligkeit Glasplatte</t>
  </si>
  <si>
    <t>Schminktisch LED Beleuchtung Hocker Großer Spiegel 6 Schubladen Weiß Holz</t>
  </si>
  <si>
    <t>Schminktisch mit Beleuchtung und Spiegel - Moderner Frisiertisch</t>
  </si>
  <si>
    <t>Schminktisch mit LED Beleuchtung, Kosmetiktisch mit Schubladen, modern</t>
  </si>
  <si>
    <t>FEZIBO Schreibtisch Elektrisch Höhenverstellbar 100x60 cm Steh-Sitz Tisch</t>
  </si>
  <si>
    <t>FEZIBO Elektrischer Schreibtisch Höhenverstellbar 120 x 60 cm Stehtisch</t>
  </si>
  <si>
    <t>Elektrischer höhenverstellbarer Schreibtisch 100 x 60 cm T-Beine Stahl Braun</t>
  </si>
  <si>
    <t>100x60 cm Cubiker Elektrisch Höhenverstellbarer Schreibtisch, Stehpult T-Beine</t>
  </si>
  <si>
    <t>Eckschreibtisch Studie 120x120cm Stabil Weiß Monitorständer Schubladen</t>
  </si>
  <si>
    <t>Bambus Betttablett Frühstückstablett klappbare Füße Serviertablett</t>
  </si>
  <si>
    <t>Stehpult weiß höhenverstellbar, Laptop Projektor Büro Laptoptisch 46-120 cm</t>
  </si>
  <si>
    <t>Stehpult Schreibtisch höhenverstellbar 46-120 cm Adjustable Schwarz Laptoptisch</t>
  </si>
  <si>
    <t>Nachttisch Hängend mit Ladefunktion LED-Lichteffekt für junge Leute</t>
  </si>
  <si>
    <t>APICIZON Beistelltisch 3 Tier Holz 40x18x61.5CM Stauraum Wohnzimmer Natur</t>
  </si>
  <si>
    <t>Ergonomischer Bürostuhl mit Klapparmlehnen und Wippfunktion Grau</t>
  </si>
  <si>
    <t>Bürostuhl Chefsessel 200KG Ergonomischer XXL Sitzfläche Dicker Polsterung</t>
  </si>
  <si>
    <t>Schreibtischstuhl Bürostuhl Ergonomisch Drehstuhl Schwarz</t>
  </si>
  <si>
    <t>Efomao Bürostuhl ergonomisch PU Leder Chefsessel 200 kg Fußstütze Rückenlehne</t>
  </si>
  <si>
    <t>Ergonomischer Bürostuhl Hbada E3 Air mit 3D-Verstellungen, Schwarz</t>
  </si>
  <si>
    <t>Ergonomischer Bürostuhl mit Wärmemassagefunktion und Leinenstoff, Dunkelschwarz</t>
  </si>
  <si>
    <t>Gaming Stuhl ALFORDSON 8-Punkt Massage 12 RGB LED Bürostuhl Ergonomisch Blau</t>
  </si>
  <si>
    <t>Gaming-Stuhl mit Massage und Fußstütze, 150° Neigung, höhenverstellbar</t>
  </si>
  <si>
    <t>Massage Gaming Stuhl LED Neigung 150° ergonomischer Gamer Chefsessel Fußstütze</t>
  </si>
  <si>
    <t>Ergonomischer Bürostuhl mit Fußstütze, Netzstuhl, Hohe</t>
  </si>
  <si>
    <t>Ergonomischer Bürostuhl mit Lordosenstütze und</t>
  </si>
  <si>
    <t>Fantasylab Gaming Stuhl Stoff Ergonomischer Bürostuhl 200kg Belastbarkeit</t>
  </si>
  <si>
    <t>Bürostuhl Ergonomisch Verstellbarer Kopfstütze Armlehnen Lendenwirbelstütze Grau</t>
  </si>
  <si>
    <t>Symino Gaming Stuhl - Ergonomischer Racing Style, 200kg Belastbarkeit, Vintage</t>
  </si>
  <si>
    <t>Ergonomischer Bürostuhl 200KG Lendenstütze hohe Rückenlehne Schwarz</t>
  </si>
  <si>
    <t>Bürostuhl Leder Fußstütze Chefsessel hohe Rückenlehne Armlehne höhenverstellbar</t>
  </si>
  <si>
    <t>Gaming Stuhl mit beheizter Massage Lendenwirbelstütze und</t>
  </si>
  <si>
    <t>Schreibtischstuhl Bürostuhl Drehstuhl Sessel Arbeitsstuhl Verstellbarer Höhe</t>
  </si>
  <si>
    <t>Ergonomischer Magic Life Bürostuhl verstellbare Lendenwirbelstütze</t>
  </si>
  <si>
    <t>Gaming Stuhl mit Fußstütze Bürostuhl Ergonomisch verstellbare Lendenkissen</t>
  </si>
  <si>
    <t>Gaming Stuhl mit beheizter Massage Lendenwirbelstütze, grau</t>
  </si>
  <si>
    <t>SOLO ACTFIT Schuheinlagen Höhen-Erhöhung Memory Foam Einlegesohlen</t>
  </si>
  <si>
    <t>Es wird im Feed kein Bild übermittelt</t>
  </si>
  <si>
    <t>Attribute nicht gut gepflegt</t>
  </si>
  <si>
    <t>Produkte auf Blacklist</t>
  </si>
  <si>
    <t>Oftmals paar Cent günstiger auf Kaufland</t>
  </si>
  <si>
    <t>Daten von OTTO werden nicht angezeigt, obwohl korrekte ID hinterlegt</t>
  </si>
  <si>
    <t>🎯 Maßnahmen und Ziele</t>
  </si>
  <si>
    <t>Umsatzentwicklung</t>
  </si>
  <si>
    <t>Feedqualität</t>
  </si>
  <si>
    <t>Parität zu Kaufland / OTTO</t>
  </si>
  <si>
    <t>order_created_at</t>
  </si>
  <si>
    <t>order_sent_at</t>
  </si>
  <si>
    <t>order_transferred_to_shop_at</t>
  </si>
  <si>
    <t>promised_last_delivery_date</t>
  </si>
  <si>
    <t>updated_at</t>
  </si>
  <si>
    <t>gtin14</t>
  </si>
  <si>
    <t>order_number</t>
  </si>
  <si>
    <t>Titel</t>
  </si>
  <si>
    <t>is_c24_repriced_offer</t>
  </si>
  <si>
    <t>is_seller_repriced_offer</t>
  </si>
  <si>
    <t>NULL</t>
  </si>
  <si>
    <t>2026-03-12 20:10:06</t>
  </si>
  <si>
    <t>F67A451D6C5B1B</t>
  </si>
  <si>
    <t>FB5VMRA</t>
  </si>
  <si>
    <t>2026-03-12 02:43:03</t>
  </si>
  <si>
    <t>8055D07142D8DA</t>
  </si>
  <si>
    <t>F97GHCA</t>
  </si>
  <si>
    <t>2026-03-11 19:12:03</t>
  </si>
  <si>
    <t>2193DD48CCCA17</t>
  </si>
  <si>
    <t>F9Z4S9C</t>
  </si>
  <si>
    <t>2026-03-11 16:01:03</t>
  </si>
  <si>
    <t>19EC4CF03D2622</t>
  </si>
  <si>
    <t>FGY0R74</t>
  </si>
  <si>
    <t>Tischtennisschläger Set inkl. 4 Schläger, 8 bunte Bälle und Aufbewahrungstasche</t>
  </si>
  <si>
    <t>2026-03-11 12:56:09</t>
  </si>
  <si>
    <t>307F8519F96C4A</t>
  </si>
  <si>
    <t>FEH5ZUK</t>
  </si>
  <si>
    <t>2026-03-11 09:32:03</t>
  </si>
  <si>
    <t>5A74B23FA4583F</t>
  </si>
  <si>
    <t>F3UC0YC</t>
  </si>
  <si>
    <t>2026-03-09 14:46:04</t>
  </si>
  <si>
    <t>367CAA28E36BB1</t>
  </si>
  <si>
    <t>FMUTTY6</t>
  </si>
  <si>
    <t>2026-03-12 17:16:18</t>
  </si>
  <si>
    <t>2026-03-09 13:55:04</t>
  </si>
  <si>
    <t>493B83B3BC51F9</t>
  </si>
  <si>
    <t>FG7XKSW</t>
  </si>
  <si>
    <t>2026-03-09 13:22:06</t>
  </si>
  <si>
    <t>459E114B182DE0</t>
  </si>
  <si>
    <t>FZYRA8F</t>
  </si>
  <si>
    <t>FCXCQB0</t>
  </si>
  <si>
    <t>2026-03-11 20:36:05</t>
  </si>
  <si>
    <t>2026-03-08 11:30:09</t>
  </si>
  <si>
    <t>A881BEFE63578F</t>
  </si>
  <si>
    <t>FA7K050</t>
  </si>
  <si>
    <t>2026-03-11 19:18:03</t>
  </si>
  <si>
    <t>2026-03-07 20:55:03</t>
  </si>
  <si>
    <t>495BCA081660E5</t>
  </si>
  <si>
    <t>FTWZQ0M</t>
  </si>
  <si>
    <t>2026-03-11 19:17:06</t>
  </si>
  <si>
    <t>2026-03-05 16:42:06</t>
  </si>
  <si>
    <t>9E9D3E04A2A299</t>
  </si>
  <si>
    <t>FFM8AMK</t>
  </si>
  <si>
    <t>2026-03-09 15:57:13</t>
  </si>
  <si>
    <t>2026-03-05 09:26:03</t>
  </si>
  <si>
    <t>5F81839AA667A6</t>
  </si>
  <si>
    <t>FZQ62B2</t>
  </si>
  <si>
    <t>2026-03-03 15:04:04</t>
  </si>
  <si>
    <t>59C5B9FFB6F646</t>
  </si>
  <si>
    <t>FAA869M</t>
  </si>
  <si>
    <t>2026-03-12 21:09:06</t>
  </si>
  <si>
    <t>2026-03-03 12:41:05</t>
  </si>
  <si>
    <t>343B23BCFBE718</t>
  </si>
  <si>
    <t>FAQATG7</t>
  </si>
  <si>
    <t>2026-03-09 15:14:16</t>
  </si>
  <si>
    <t>2026-03-03 12:30:02</t>
  </si>
  <si>
    <t>6F2816D97DFB8C</t>
  </si>
  <si>
    <t>F8SVCBF</t>
  </si>
  <si>
    <t>2026-03-05 21:01:08</t>
  </si>
  <si>
    <t>2026-03-02 21:51:03</t>
  </si>
  <si>
    <t>7BA392D2AD02DE</t>
  </si>
  <si>
    <t>FAAYGKH</t>
  </si>
  <si>
    <t>2026-03-01 21:33:06</t>
  </si>
  <si>
    <t>24AA2D0984637D</t>
  </si>
  <si>
    <t>FYR5XHF</t>
  </si>
  <si>
    <t>2026-03-09 15:14:17</t>
  </si>
  <si>
    <t>2026-03-01 17:45:05</t>
  </si>
  <si>
    <t>F6RFX6X</t>
  </si>
  <si>
    <t>2026-03-11 13:49:13</t>
  </si>
  <si>
    <t>2026-02-28 10:22:03</t>
  </si>
  <si>
    <t>993AB0663DE65E</t>
  </si>
  <si>
    <t>F00AUQ0</t>
  </si>
  <si>
    <t>2026-03-10 17:42:08</t>
  </si>
  <si>
    <t>2026-02-27 16:54:03</t>
  </si>
  <si>
    <t>10B230A18381A3</t>
  </si>
  <si>
    <t>F8P0B09</t>
  </si>
  <si>
    <t>2026-03-03 19:07:06</t>
  </si>
  <si>
    <t>2026-02-26 23:14:04</t>
  </si>
  <si>
    <t>C0514683A89E06</t>
  </si>
  <si>
    <t>FEY4VCB</t>
  </si>
  <si>
    <t>2026-03-03 19:06:06</t>
  </si>
  <si>
    <t>2026-02-26 19:44:03</t>
  </si>
  <si>
    <t>FE88F2F40E09DB</t>
  </si>
  <si>
    <t>FHZQ3E4</t>
  </si>
  <si>
    <t>2026-03-06 15:00:28</t>
  </si>
  <si>
    <t>2026-02-26 17:07:03</t>
  </si>
  <si>
    <t>CFCE9850BDD9F7</t>
  </si>
  <si>
    <t>FU9AP6P</t>
  </si>
  <si>
    <t>2026-03-09 15:13:21</t>
  </si>
  <si>
    <t>2026-02-25 10:10:03</t>
  </si>
  <si>
    <t>00BD402104A74A</t>
  </si>
  <si>
    <t>FB8HSQF</t>
  </si>
  <si>
    <t>2026-02-26 19:38:02</t>
  </si>
  <si>
    <t>2026-02-23 10:14:04</t>
  </si>
  <si>
    <t>E444A7A0BAD408</t>
  </si>
  <si>
    <t>FHRMG9E</t>
  </si>
  <si>
    <t>LuxusKollektion Grillbesteck-Set, 26-teilig, Edelstahl silber</t>
  </si>
  <si>
    <t>2026-03-02 13:10:16</t>
  </si>
  <si>
    <t>2026-02-22 21:49:06</t>
  </si>
  <si>
    <t>B71990B169AA20</t>
  </si>
  <si>
    <t>FA5R64M</t>
  </si>
  <si>
    <t>LuxusKollektion Rührschüssel Edelstahl Rührschüssel Set 6er Stapelbar Luftdicht 4.6L-0.7L</t>
  </si>
  <si>
    <t>2026-02-25 19:23:04</t>
  </si>
  <si>
    <t>2026-02-22 16:00:11</t>
  </si>
  <si>
    <t>4E88B37CFE5377</t>
  </si>
  <si>
    <t>FBSTPTG</t>
  </si>
  <si>
    <t>FKBCBGB</t>
  </si>
  <si>
    <t>2026-03-04 12:55:23</t>
  </si>
  <si>
    <t>2026-02-22 10:25:03</t>
  </si>
  <si>
    <t>FU3ZH2F</t>
  </si>
  <si>
    <t>2026-02-21 16:12:03</t>
  </si>
  <si>
    <t>837657D5BADB86</t>
  </si>
  <si>
    <t>FBYQP89</t>
  </si>
  <si>
    <t>2026-02-26 19:35:07</t>
  </si>
  <si>
    <t>2026-02-21 09:38:04</t>
  </si>
  <si>
    <t>1FA7D813B16953</t>
  </si>
  <si>
    <t>FQA0623</t>
  </si>
  <si>
    <t>2026-02-20 22:33:04</t>
  </si>
  <si>
    <t>3FAB653472ED39</t>
  </si>
  <si>
    <t>FVVUS6H</t>
  </si>
  <si>
    <t>2026-03-04 12:56:13</t>
  </si>
  <si>
    <t>2026-02-20 22:03:03</t>
  </si>
  <si>
    <t>33B8E2C536AAAD</t>
  </si>
  <si>
    <t>FQBP7KX</t>
  </si>
  <si>
    <t>2026-02-19 18:05:03</t>
  </si>
  <si>
    <t>73850E56C16F30</t>
  </si>
  <si>
    <t>FESZST8</t>
  </si>
  <si>
    <t>2026-02-24 19:18:03</t>
  </si>
  <si>
    <t>2026-02-19 12:25:05</t>
  </si>
  <si>
    <t>94A68DB1E90287</t>
  </si>
  <si>
    <t>F0UYMPC</t>
  </si>
  <si>
    <t>2026-02-23 17:56:03</t>
  </si>
  <si>
    <t>2026-02-18 21:49:05</t>
  </si>
  <si>
    <t>4C70B4EBA1903A</t>
  </si>
  <si>
    <t>F2X4AGB</t>
  </si>
  <si>
    <t>2026-02-24 00:17:03</t>
  </si>
  <si>
    <t>2026-02-16 16:49:03</t>
  </si>
  <si>
    <t>DA774B4692BEC0</t>
  </si>
  <si>
    <t>FHRG0ZP</t>
  </si>
  <si>
    <t>2026-02-23 19:09:08</t>
  </si>
  <si>
    <t>2026-02-15 20:44:07</t>
  </si>
  <si>
    <t>6671517B09F354</t>
  </si>
  <si>
    <t>FVV0C68</t>
  </si>
  <si>
    <t>2026-02-27 10:18:17</t>
  </si>
  <si>
    <t>2026-02-15 17:09:05</t>
  </si>
  <si>
    <t>0FF05C3EB1EC01</t>
  </si>
  <si>
    <t>F0T6X4Y</t>
  </si>
  <si>
    <t>2026-02-19 19:28:03</t>
  </si>
  <si>
    <t>2026-02-15 14:30:10</t>
  </si>
  <si>
    <t>A7F87F49B1ECF5</t>
  </si>
  <si>
    <t>FQYQ089</t>
  </si>
  <si>
    <t>2026-02-23 16:23:02</t>
  </si>
  <si>
    <t>2026-02-15 10:55:04</t>
  </si>
  <si>
    <t>F35CBA86DB82B6</t>
  </si>
  <si>
    <t>FWWKU3X</t>
  </si>
  <si>
    <t>2026-02-23 14:06:02</t>
  </si>
  <si>
    <t>2026-02-14 23:30:09</t>
  </si>
  <si>
    <t>1897CED473B8C8</t>
  </si>
  <si>
    <t>FEQ29FF</t>
  </si>
  <si>
    <t>2026-03-02 14:45:19</t>
  </si>
  <si>
    <t>2026-02-14 13:17:05</t>
  </si>
  <si>
    <t>D7D4FEE14A25DE</t>
  </si>
  <si>
    <t>FVK0H8C</t>
  </si>
  <si>
    <t>2026-02-23 17:50:13</t>
  </si>
  <si>
    <t>2026-02-12 14:10:05</t>
  </si>
  <si>
    <t>04020F138C38E6</t>
  </si>
  <si>
    <t>FSY6V22</t>
  </si>
  <si>
    <t>2026-02-17 19:10:03</t>
  </si>
  <si>
    <t>2026-02-11 17:06:03</t>
  </si>
  <si>
    <t>9438FF733E12D9</t>
  </si>
  <si>
    <t>F5K3V6Y</t>
  </si>
  <si>
    <t>2026-02-12 19:19:05</t>
  </si>
  <si>
    <t>2026-02-09 15:25:07</t>
  </si>
  <si>
    <t>22581B31E6B7F9</t>
  </si>
  <si>
    <t>FMVVHBX</t>
  </si>
  <si>
    <t>2026-02-16 17:59:04</t>
  </si>
  <si>
    <t>2026-02-08 13:34:03</t>
  </si>
  <si>
    <t>FX0MVUZ</t>
  </si>
  <si>
    <t>2026-02-12 19:18:03</t>
  </si>
  <si>
    <t>2026-02-08 13:19:05</t>
  </si>
  <si>
    <t>4C5AC16E23C216</t>
  </si>
  <si>
    <t>FGMHZ0V</t>
  </si>
  <si>
    <t>2026-02-18 17:59:08</t>
  </si>
  <si>
    <t>2026-02-07 17:16:03</t>
  </si>
  <si>
    <t>9AB05FB458C4C1</t>
  </si>
  <si>
    <t>FKYQEX5</t>
  </si>
  <si>
    <t>2026-02-17 13:51:21</t>
  </si>
  <si>
    <t>2026-02-05 10:49:03</t>
  </si>
  <si>
    <t>7ACD0D1EDDF5D3</t>
  </si>
  <si>
    <t>FVQF94S</t>
  </si>
  <si>
    <t>2026-02-09 17:26:03</t>
  </si>
  <si>
    <t>2026-02-01 15:53:07</t>
  </si>
  <si>
    <t>F4C32AE9D54177</t>
  </si>
  <si>
    <t>FX66QKR</t>
  </si>
  <si>
    <t>2026-02-04 19:10:03</t>
  </si>
  <si>
    <t>2026-01-30 22:48:03</t>
  </si>
  <si>
    <t>F063A0848E9A57</t>
  </si>
  <si>
    <t>FF2GQU2</t>
  </si>
  <si>
    <t>FQ960M4</t>
  </si>
  <si>
    <t>2026-02-03 23:21:04</t>
  </si>
  <si>
    <t>2026-01-25 13:49:03</t>
  </si>
  <si>
    <t>BFBFFD5E6D797A</t>
  </si>
  <si>
    <t>F78U2VC</t>
  </si>
  <si>
    <t>2026-01-28 17:04:07</t>
  </si>
  <si>
    <t>2026-01-24 14:25:05</t>
  </si>
  <si>
    <t>4C3E5AE3D48D59</t>
  </si>
  <si>
    <t>FVAZ6B2</t>
  </si>
  <si>
    <t>2026-01-27 15:07:11</t>
  </si>
  <si>
    <t>2026-01-23 21:28:07</t>
  </si>
  <si>
    <t>9EB440F2A5865C</t>
  </si>
  <si>
    <t>FBYEWQ0</t>
  </si>
  <si>
    <t>2026-01-27 15:06:13</t>
  </si>
  <si>
    <t>2026-01-21 17:49:03</t>
  </si>
  <si>
    <t>AA6905035367EE</t>
  </si>
  <si>
    <t>FSX82B0</t>
  </si>
  <si>
    <t>2026-01-24 12:38:03</t>
  </si>
  <si>
    <t>2026-01-20 15:39:05</t>
  </si>
  <si>
    <t>AA2EA85EB9E3EE</t>
  </si>
  <si>
    <t>F4Y0HKB</t>
  </si>
  <si>
    <t>2026-01-23 16:26:10</t>
  </si>
  <si>
    <t>2026-01-19 19:51:04</t>
  </si>
  <si>
    <t>CD54FCBB10FA44</t>
  </si>
  <si>
    <t>FEFMVW8</t>
  </si>
  <si>
    <t>2026-01-22 17:46:17</t>
  </si>
  <si>
    <t>2026-01-19 15:01:03</t>
  </si>
  <si>
    <t>65445AF36D3123</t>
  </si>
  <si>
    <t>FZM93E8</t>
  </si>
  <si>
    <t>2026-01-22 17:46:18</t>
  </si>
  <si>
    <t>2026-01-19 13:17:12</t>
  </si>
  <si>
    <t>5259CFE0EC43B0</t>
  </si>
  <si>
    <t>FPVAWWF</t>
  </si>
  <si>
    <t>2026-01-22 17:46:16</t>
  </si>
  <si>
    <t>2026-01-18 13:48:09</t>
  </si>
  <si>
    <t>F2GT8CV</t>
  </si>
  <si>
    <t>2026-01-23 12:44:15</t>
  </si>
  <si>
    <t>2026-01-18 11:00:04</t>
  </si>
  <si>
    <t>44730E43A1F006</t>
  </si>
  <si>
    <t>FWT8BH6</t>
  </si>
  <si>
    <t>2026-01-19 16:41:17</t>
  </si>
  <si>
    <t>2026-01-15 00:10:13</t>
  </si>
  <si>
    <t>A20618B14F7974</t>
  </si>
  <si>
    <t>FMR4GVK</t>
  </si>
  <si>
    <t>2026-01-20 15:01:16</t>
  </si>
  <si>
    <t>2026-01-14 14:45:03</t>
  </si>
  <si>
    <t>E3404333F676EC</t>
  </si>
  <si>
    <t>FFGQC66</t>
  </si>
  <si>
    <t>2026-01-17 11:35:12</t>
  </si>
  <si>
    <t>2026-01-13 20:26:05</t>
  </si>
  <si>
    <t>B4F49C654644E2</t>
  </si>
  <si>
    <t>FZE60ST</t>
  </si>
  <si>
    <t>2026-01-19 14:40:19</t>
  </si>
  <si>
    <t>2026-01-13 10:18:03</t>
  </si>
  <si>
    <t>C0F6196EC16EA5</t>
  </si>
  <si>
    <t>F8VRUQR</t>
  </si>
  <si>
    <t>2026-01-15 14:55:18</t>
  </si>
  <si>
    <t>2026-01-11 23:03:03</t>
  </si>
  <si>
    <t>DF49BDFB6AB20E</t>
  </si>
  <si>
    <t>FWRKVMM</t>
  </si>
  <si>
    <t>2026-01-17 11:35:07</t>
  </si>
  <si>
    <t>2026-01-11 22:40:07</t>
  </si>
  <si>
    <t>F95K88A</t>
  </si>
  <si>
    <t>2026-01-15 14:49:09</t>
  </si>
  <si>
    <t>2026-01-11 11:54:03</t>
  </si>
  <si>
    <t>31DEEB4EC9681B</t>
  </si>
  <si>
    <t>FB2KSMF</t>
  </si>
  <si>
    <t>2026-01-21 14:43:10</t>
  </si>
  <si>
    <t>2026-01-09 13:27:24</t>
  </si>
  <si>
    <t>6E3414929CFC85</t>
  </si>
  <si>
    <t>FMTX6X9</t>
  </si>
  <si>
    <t>2026-01-12 14:49:07</t>
  </si>
  <si>
    <t>2026-01-08 13:28:04</t>
  </si>
  <si>
    <t>093BC937A5225D</t>
  </si>
  <si>
    <t>F6R59CM</t>
  </si>
  <si>
    <t>2026-01-13 16:14:14</t>
  </si>
  <si>
    <t>2026-01-08 12:28:04</t>
  </si>
  <si>
    <t>EB958D0F383546</t>
  </si>
  <si>
    <t>FHETQE3</t>
  </si>
  <si>
    <t>2026-01-10 16:10:21</t>
  </si>
  <si>
    <t>2026-01-06 15:57:07</t>
  </si>
  <si>
    <t>3BCAFB66521F74</t>
  </si>
  <si>
    <t>FZUAXVY</t>
  </si>
  <si>
    <t>LuxusKollektion Küchenorganizer-Set Rührschüssel Set Edelstahl Salatschüssel 6er mit Luftdichtem Deckel</t>
  </si>
  <si>
    <t>2026-01-11 13:20:20</t>
  </si>
  <si>
    <t>2026-01-06 15:12:04</t>
  </si>
  <si>
    <t>4AB27E47356177</t>
  </si>
  <si>
    <t>FYGYH8P</t>
  </si>
  <si>
    <t>2026-01-15 14:55:15</t>
  </si>
  <si>
    <t>2026-01-05 16:31:06</t>
  </si>
  <si>
    <t>D2487F160A029E</t>
  </si>
  <si>
    <t>F0Z53WK</t>
  </si>
  <si>
    <t>2026-01-08 16:57:06</t>
  </si>
  <si>
    <t>2026-01-04 16:22:03</t>
  </si>
  <si>
    <t>02E096EA393F68</t>
  </si>
  <si>
    <t>FYKYWVG</t>
  </si>
  <si>
    <t>GARPROVM Grillabdeckung, wetterfest, 420D Oxford Gewebe schwarz, 147x61x122 cm</t>
  </si>
  <si>
    <t>2026-01-07 16:07:21</t>
  </si>
  <si>
    <t>2026-01-03 18:38:05</t>
  </si>
  <si>
    <t>A84EBDDBFAC8D0</t>
  </si>
  <si>
    <t>FR7S6HU</t>
  </si>
  <si>
    <t>2026-01-05 15:52:23</t>
  </si>
  <si>
    <t>2026-01-02 14:36:03</t>
  </si>
  <si>
    <t>F700B6D3F008C8</t>
  </si>
  <si>
    <t>FW49PXV</t>
  </si>
  <si>
    <t>2026-01-12 16:07:11</t>
  </si>
  <si>
    <t>2026-01-01 17:33:05</t>
  </si>
  <si>
    <t>BCDF50AEC5F301</t>
  </si>
  <si>
    <t>FAZ6673</t>
  </si>
  <si>
    <t>2026-01-08 20:31:04</t>
  </si>
  <si>
    <t>2026-01-01 01:04:03</t>
  </si>
  <si>
    <t>FVS2BXA</t>
  </si>
  <si>
    <t>2026-01-08 16:57:11</t>
  </si>
  <si>
    <t>2025-12-31 13:34:04</t>
  </si>
  <si>
    <t>2D3EA539EE7605</t>
  </si>
  <si>
    <t>FA2WQP9</t>
  </si>
  <si>
    <t>2026-01-02 11:00:20</t>
  </si>
  <si>
    <t>2025-12-27 19:03:07</t>
  </si>
  <si>
    <t>E0FD25C0086FF9</t>
  </si>
  <si>
    <t>FSUKBRF</t>
  </si>
  <si>
    <t>2026-01-02 10:10:23</t>
  </si>
  <si>
    <t>2025-12-26 21:23:04</t>
  </si>
  <si>
    <t>733477A4325F53</t>
  </si>
  <si>
    <t>FYEG9CA</t>
  </si>
  <si>
    <t>2026-01-05 15:30:26</t>
  </si>
  <si>
    <t>2025-12-25 21:11:06</t>
  </si>
  <si>
    <t>8B3CD1A7E4006C</t>
  </si>
  <si>
    <t>F7QYF9C</t>
  </si>
  <si>
    <t>2025-12-28 10:30:23</t>
  </si>
  <si>
    <t>2025-12-22 20:39:03</t>
  </si>
  <si>
    <t>16D5AAF2AB8ADE</t>
  </si>
  <si>
    <t>FYZM3T0</t>
  </si>
  <si>
    <t>2025-12-25 09:10:24</t>
  </si>
  <si>
    <t>2025-12-19 22:27:03</t>
  </si>
  <si>
    <t>5CD6380B8325C4</t>
  </si>
  <si>
    <t>FEE9Z63</t>
  </si>
  <si>
    <t>2025-12-19 18:06:07</t>
  </si>
  <si>
    <t>2025-12-17 10:27:04</t>
  </si>
  <si>
    <t>71C2762680D650</t>
  </si>
  <si>
    <t>FR3T0U2</t>
  </si>
  <si>
    <t>2025-12-19 15:53:14</t>
  </si>
  <si>
    <t>2025-12-16 02:49:06</t>
  </si>
  <si>
    <t>99C5FE6436F8ED</t>
  </si>
  <si>
    <t>FMV5C05</t>
  </si>
  <si>
    <t>2025-12-19 15:53:11</t>
  </si>
  <si>
    <t>2025-12-15 18:41:10</t>
  </si>
  <si>
    <t>E0F266E33F8E2B</t>
  </si>
  <si>
    <t>F7MQ7TX</t>
  </si>
  <si>
    <t>2025-12-17 17:13:13</t>
  </si>
  <si>
    <t>2025-12-15 01:06:04</t>
  </si>
  <si>
    <t>E6B78F20745DC8</t>
  </si>
  <si>
    <t>F60UYCE</t>
  </si>
  <si>
    <t>2025-12-17 16:08:07</t>
  </si>
  <si>
    <t>2025-12-14 17:02:06</t>
  </si>
  <si>
    <t>1731502C619A38</t>
  </si>
  <si>
    <t>FKCCP4M</t>
  </si>
  <si>
    <t>2025-12-18 15:59:18</t>
  </si>
  <si>
    <t>2025-12-14 14:52:06</t>
  </si>
  <si>
    <t>93F489FDB3DC5D</t>
  </si>
  <si>
    <t>FWW2WHV</t>
  </si>
  <si>
    <t>2025-12-17 16:07:09</t>
  </si>
  <si>
    <t>2025-12-14 12:13:06</t>
  </si>
  <si>
    <t>FXKE3ZC</t>
  </si>
  <si>
    <t>2025-12-16 16:10:08</t>
  </si>
  <si>
    <t>2025-12-13 22:52:03</t>
  </si>
  <si>
    <t>1516EA4B8E4FAB</t>
  </si>
  <si>
    <t>F9XTEWB</t>
  </si>
  <si>
    <t>2025-12-16 18:09:07</t>
  </si>
  <si>
    <t>2025-12-13 20:53:03</t>
  </si>
  <si>
    <t>6DCC27CF4BAFAF</t>
  </si>
  <si>
    <t>FAEUFF8</t>
  </si>
  <si>
    <t>2025-12-16 15:01:10</t>
  </si>
  <si>
    <t>2025-12-13 14:48:08</t>
  </si>
  <si>
    <t>1ADAC067DFBCB1</t>
  </si>
  <si>
    <t>F34M04A</t>
  </si>
  <si>
    <t>2025-12-18 14:55:22</t>
  </si>
  <si>
    <t>2025-12-13 10:12:11</t>
  </si>
  <si>
    <t>2ABB37D3F7543C</t>
  </si>
  <si>
    <t>FVCSWU8</t>
  </si>
  <si>
    <t>2025-12-16 19:12:16</t>
  </si>
  <si>
    <t>2025-12-13 08:07:03</t>
  </si>
  <si>
    <t>44C074C7D6D7FA</t>
  </si>
  <si>
    <t>F2VQX0G</t>
  </si>
  <si>
    <t>LuxusKollektion Dekohänger Blumen Kissenbezug 40x40 Set Leinen Sofakissen Moderne Aquarellmalerei</t>
  </si>
  <si>
    <t>2025-12-16 16:09:13</t>
  </si>
  <si>
    <t>2025-12-12 17:06:05</t>
  </si>
  <si>
    <t>07B09412341A79</t>
  </si>
  <si>
    <t>FCG3KVM</t>
  </si>
  <si>
    <t>2025-12-15 15:54:15</t>
  </si>
  <si>
    <t>2025-12-12 14:56:04</t>
  </si>
  <si>
    <t>A0450875EE4A99</t>
  </si>
  <si>
    <t>FCQGETK</t>
  </si>
  <si>
    <t>2025-12-30 15:49:06</t>
  </si>
  <si>
    <t>2025-12-12 11:53:05</t>
  </si>
  <si>
    <t>0C1E2A6E40E6F1</t>
  </si>
  <si>
    <t>FXHTCVE</t>
  </si>
  <si>
    <t>2025-12-15 14:57:04</t>
  </si>
  <si>
    <t>2025-12-11 16:03:04</t>
  </si>
  <si>
    <t>ED911F5558219E</t>
  </si>
  <si>
    <t>F0C8USV</t>
  </si>
  <si>
    <t>2025-12-16 16:09:09</t>
  </si>
  <si>
    <t>2025-12-11 12:22:03</t>
  </si>
  <si>
    <t>F8KXR3P</t>
  </si>
  <si>
    <t>2025-12-15 14:56:14</t>
  </si>
  <si>
    <t>2025-12-11 09:51:05</t>
  </si>
  <si>
    <t>55D0CBF860AFAF</t>
  </si>
  <si>
    <t>FFB6V99</t>
  </si>
  <si>
    <t>2025-12-14 15:10:22</t>
  </si>
  <si>
    <t>2025-12-10 15:22:10</t>
  </si>
  <si>
    <t>1C40D298D9AB38</t>
  </si>
  <si>
    <t>F7CBEV7</t>
  </si>
  <si>
    <t>LIKAYA Gewürzregal 2er Set für Gewürzgläser Ankerkraut 3M™ Klebepads. SubElemente</t>
  </si>
  <si>
    <t>2025-12-16 17:05:08</t>
  </si>
  <si>
    <t>2025-12-10 07:40:04</t>
  </si>
  <si>
    <t>FPSU26Z</t>
  </si>
  <si>
    <t>2025-12-14 10:00:39</t>
  </si>
  <si>
    <t>2025-12-09 18:41:07</t>
  </si>
  <si>
    <t>FF79DB4A6219DC</t>
  </si>
  <si>
    <t>FZ776T4</t>
  </si>
  <si>
    <t>Extrem weiche Kissenbezüge, 2er Set, Satin weiß, 80x80 cm</t>
  </si>
  <si>
    <t>2025-12-13 13:00:23</t>
  </si>
  <si>
    <t>2025-12-09 17:07:05</t>
  </si>
  <si>
    <t>F7TZ8EA</t>
  </si>
  <si>
    <t>2025-12-14 09:00:38</t>
  </si>
  <si>
    <t>2025-12-09 14:25:04</t>
  </si>
  <si>
    <t>F9W8KR0</t>
  </si>
  <si>
    <t>2025-12-15 14:56:17</t>
  </si>
  <si>
    <t>2025-12-08 10:34:07</t>
  </si>
  <si>
    <t>D5E22F345E84C6</t>
  </si>
  <si>
    <t>FZAZ69P</t>
  </si>
  <si>
    <t>2025-12-11 16:17:12</t>
  </si>
  <si>
    <t>2025-12-07 20:27:03</t>
  </si>
  <si>
    <t>FS3M7MZ</t>
  </si>
  <si>
    <t>2025-12-09 17:21:18</t>
  </si>
  <si>
    <t>2025-12-07 18:28:04</t>
  </si>
  <si>
    <t>AA043A5547F9D9</t>
  </si>
  <si>
    <t>FEME4A3</t>
  </si>
  <si>
    <t>2025-12-10 16:12:06</t>
  </si>
  <si>
    <t>2025-12-07 10:55:03</t>
  </si>
  <si>
    <t>29A5AB4A460A98</t>
  </si>
  <si>
    <t>F77C3CG</t>
  </si>
  <si>
    <t>2025-12-09 17:22:05</t>
  </si>
  <si>
    <t>2025-12-06 16:35:07</t>
  </si>
  <si>
    <t>E3B4043F98B999</t>
  </si>
  <si>
    <t>FXYSHBZ</t>
  </si>
  <si>
    <t>2025-12-09 17:23:09</t>
  </si>
  <si>
    <t>2025-12-05 21:57:07</t>
  </si>
  <si>
    <t>FB5ZVWY</t>
  </si>
  <si>
    <t>2025-12-10 18:18:26</t>
  </si>
  <si>
    <t>2025-12-05 20:52:13</t>
  </si>
  <si>
    <t>F9RK2B0</t>
  </si>
  <si>
    <t>2025-12-05 17:11:04</t>
  </si>
  <si>
    <t>9D70E79D2B249C</t>
  </si>
  <si>
    <t>FMR27YP</t>
  </si>
  <si>
    <t>2025-12-22 12:30:26</t>
  </si>
  <si>
    <t>2025-12-05 15:26:15</t>
  </si>
  <si>
    <t>8178E6E684054E</t>
  </si>
  <si>
    <t>F2GTK4U</t>
  </si>
  <si>
    <t>2025-12-11 17:06:29</t>
  </si>
  <si>
    <t>2025-12-05 03:58:03</t>
  </si>
  <si>
    <t>FC30VTY</t>
  </si>
  <si>
    <t>2025-12-10 17:14:19</t>
  </si>
  <si>
    <t>2025-12-02 13:55:07</t>
  </si>
  <si>
    <t>92036AEE0FFF28</t>
  </si>
  <si>
    <t>FVF3CS3</t>
  </si>
  <si>
    <t>2025-12-10 18:17:04</t>
  </si>
  <si>
    <t>2025-12-02 01:04:06</t>
  </si>
  <si>
    <t>CA8741A161C061</t>
  </si>
  <si>
    <t>F24QGUF</t>
  </si>
  <si>
    <t>2025-12-08 16:30:15</t>
  </si>
  <si>
    <t>2025-12-02 00:19:03</t>
  </si>
  <si>
    <t>FU29GQQ</t>
  </si>
  <si>
    <t>2025-12-04 18:49:14</t>
  </si>
  <si>
    <t>2025-12-01 23:36:06</t>
  </si>
  <si>
    <t>05BA2FD9059C50</t>
  </si>
  <si>
    <t>F7Q5T9M</t>
  </si>
  <si>
    <t>2025-12-04 16:18:28</t>
  </si>
  <si>
    <t>2025-12-01 22:52:09</t>
  </si>
  <si>
    <t>30A9B76308EE97</t>
  </si>
  <si>
    <t>FCUSY8S</t>
  </si>
  <si>
    <t>2025-12-10 16:35:14</t>
  </si>
  <si>
    <t>2025-12-01 22:08:09</t>
  </si>
  <si>
    <t>C681E4D3FA7572</t>
  </si>
  <si>
    <t>FVTWRAT</t>
  </si>
  <si>
    <t>2025-12-10 15:31:13</t>
  </si>
  <si>
    <t>2025-12-01 13:28:09</t>
  </si>
  <si>
    <t>FYXF7SQ</t>
  </si>
  <si>
    <t>2025-12-06 17:10:35</t>
  </si>
  <si>
    <t>2025-12-01 12:52:12</t>
  </si>
  <si>
    <t>9AE761F8C69A6F</t>
  </si>
  <si>
    <t>F430SY4</t>
  </si>
  <si>
    <t>2025-12-07 11:30:23</t>
  </si>
  <si>
    <t>2025-12-01 00:55:05</t>
  </si>
  <si>
    <t>F4F5CFEA6F5364</t>
  </si>
  <si>
    <t>FBXQ70K</t>
  </si>
  <si>
    <t>2025-12-06 16:10:18</t>
  </si>
  <si>
    <t>2025-11-30 22:12:03</t>
  </si>
  <si>
    <t>CB05A9B46CD24C</t>
  </si>
  <si>
    <t>FGA3KFZ</t>
  </si>
  <si>
    <t>2025-12-11 17:06:26</t>
  </si>
  <si>
    <t>2025-11-30 16:41:03</t>
  </si>
  <si>
    <t>2CD85D08C040C2</t>
  </si>
  <si>
    <t>FM5379U</t>
  </si>
  <si>
    <t>2025-12-04 19:46:03</t>
  </si>
  <si>
    <t>2025-11-30 15:11:04</t>
  </si>
  <si>
    <t>F8751FA86233E7</t>
  </si>
  <si>
    <t>FU2ZTQX</t>
  </si>
  <si>
    <t>LuxusKollektion Badaccessoire-Set Kosmetikspiegel 360° drehbar 7-fach Vergrößerung Standspiegel</t>
  </si>
  <si>
    <t>2025-12-08 16:20:34</t>
  </si>
  <si>
    <t>2025-11-30 13:45:04</t>
  </si>
  <si>
    <t>263D3F81C00862</t>
  </si>
  <si>
    <t>FK873XQ</t>
  </si>
  <si>
    <t>2025-12-03 20:05:16</t>
  </si>
  <si>
    <t>2025-11-30 11:51:06</t>
  </si>
  <si>
    <t>FHGZXTA</t>
  </si>
  <si>
    <t>2025-12-05 16:59:08</t>
  </si>
  <si>
    <t>2025-11-30 11:44:07</t>
  </si>
  <si>
    <t>FCCYB74</t>
  </si>
  <si>
    <t>2025-12-08 16:20:35</t>
  </si>
  <si>
    <t>2025-11-30 11:15:07</t>
  </si>
  <si>
    <t>D97863A846D421</t>
  </si>
  <si>
    <t>FM98VBW</t>
  </si>
  <si>
    <t>2025-12-07 09:40:24</t>
  </si>
  <si>
    <t>2025-11-29 23:07:04</t>
  </si>
  <si>
    <t>FR4VW5G</t>
  </si>
  <si>
    <t>2025-12-04 17:22:15</t>
  </si>
  <si>
    <t>2025-11-29 15:21:07</t>
  </si>
  <si>
    <t>824CA1EC179C60</t>
  </si>
  <si>
    <t>FCWU93R</t>
  </si>
  <si>
    <t>2025-12-04 09:33:24</t>
  </si>
  <si>
    <t>2025-11-29 12:47:03</t>
  </si>
  <si>
    <t>DF30D227EAFA68</t>
  </si>
  <si>
    <t>F0E09MW</t>
  </si>
  <si>
    <t>2025-12-04 16:50:30</t>
  </si>
  <si>
    <t>2025-11-29 00:47:04</t>
  </si>
  <si>
    <t>9F944BC11BC77F</t>
  </si>
  <si>
    <t>FWBST3R</t>
  </si>
  <si>
    <t>2025-12-02 18:41:06</t>
  </si>
  <si>
    <t>2025-11-28 18:15:12</t>
  </si>
  <si>
    <t>F2488A0BE458F3</t>
  </si>
  <si>
    <t>FCVEEP7</t>
  </si>
  <si>
    <t>2025-12-04 17:20:31</t>
  </si>
  <si>
    <t>2025-11-28 18:04:04</t>
  </si>
  <si>
    <t>F2MZ5KU</t>
  </si>
  <si>
    <t>2025-12-02 17:35:14</t>
  </si>
  <si>
    <t>2025-11-28 17:22:04</t>
  </si>
  <si>
    <t>FATKSF8</t>
  </si>
  <si>
    <t>2025-12-02 17:36:08</t>
  </si>
  <si>
    <t>2025-11-28 17:15:04</t>
  </si>
  <si>
    <t>D60D242C1BA0A6</t>
  </si>
  <si>
    <t>FU4KHE8</t>
  </si>
  <si>
    <t>2025-12-04 16:18:25</t>
  </si>
  <si>
    <t>2025-11-28 10:44:27</t>
  </si>
  <si>
    <t>CD3CCC99D633A7</t>
  </si>
  <si>
    <t>FTV8MS6</t>
  </si>
  <si>
    <t>2025-12-09 17:23:11</t>
  </si>
  <si>
    <t>2025-11-28 10:20:03</t>
  </si>
  <si>
    <t>67B1C24039BA3F</t>
  </si>
  <si>
    <t>FUEBAAC</t>
  </si>
  <si>
    <t>2025-12-04 17:22:19</t>
  </si>
  <si>
    <t>2025-11-28 10:17:05</t>
  </si>
  <si>
    <t>FRUB5QE</t>
  </si>
  <si>
    <t>2025-11-27 10:27:03</t>
  </si>
  <si>
    <t>D8A8EEDAF97F29</t>
  </si>
  <si>
    <t>FR08E85</t>
  </si>
  <si>
    <t>2025-11-29 15:40:18</t>
  </si>
  <si>
    <t>2025-11-26 09:34:05</t>
  </si>
  <si>
    <t>B0D0438FE63386</t>
  </si>
  <si>
    <t>FG3YPCS</t>
  </si>
  <si>
    <t>2025-11-27 20:22:14</t>
  </si>
  <si>
    <t>2025-11-25 21:52:07</t>
  </si>
  <si>
    <t>F30WQTM</t>
  </si>
  <si>
    <t>2025-11-29 11:44:14</t>
  </si>
  <si>
    <t>2025-11-25 19:46:05</t>
  </si>
  <si>
    <t>CD8052FE1A4240</t>
  </si>
  <si>
    <t>FT6UVGF</t>
  </si>
  <si>
    <t>2025-11-28 16:33:11</t>
  </si>
  <si>
    <t>2025-11-24 18:37:04</t>
  </si>
  <si>
    <t>F44M635</t>
  </si>
  <si>
    <t>2025-11-26 16:02:05</t>
  </si>
  <si>
    <t>2025-11-23 14:41:06</t>
  </si>
  <si>
    <t>BDF89AFEB9244E</t>
  </si>
  <si>
    <t>F7WTKC5</t>
  </si>
  <si>
    <t>2025-11-27 20:21:11</t>
  </si>
  <si>
    <t>2025-11-23 11:02:05</t>
  </si>
  <si>
    <t>91BD16FA72A14A</t>
  </si>
  <si>
    <t>F688VW4</t>
  </si>
  <si>
    <t>2025-11-27 17:16:11</t>
  </si>
  <si>
    <t>2025-11-23 00:10:04</t>
  </si>
  <si>
    <t>8B3B4AC2DA6730</t>
  </si>
  <si>
    <t>FQ5RH7Z</t>
  </si>
  <si>
    <t>2025-11-27 20:23:11</t>
  </si>
  <si>
    <t>2025-11-22 18:39:04</t>
  </si>
  <si>
    <t>FP7B7CV</t>
  </si>
  <si>
    <t>2025-11-22 17:20:03</t>
  </si>
  <si>
    <t>0F1B45D5634940</t>
  </si>
  <si>
    <t>F6B4HTT</t>
  </si>
  <si>
    <t>2025-11-26 16:50:15</t>
  </si>
  <si>
    <t>2025-11-22 09:51:07</t>
  </si>
  <si>
    <t>FZBQQ03</t>
  </si>
  <si>
    <t>2025-11-28 16:32:21</t>
  </si>
  <si>
    <t>2025-11-22 08:42:03</t>
  </si>
  <si>
    <t>666BB81D30C06F</t>
  </si>
  <si>
    <t>F3HAVXT</t>
  </si>
  <si>
    <t>2025-12-01 16:08:20</t>
  </si>
  <si>
    <t>2025-11-21 21:00:04</t>
  </si>
  <si>
    <t>ADE1AEC3D11E88</t>
  </si>
  <si>
    <t>FE098RW</t>
  </si>
  <si>
    <t>2025-11-25 14:00:25</t>
  </si>
  <si>
    <t>2025-11-21 19:43:05</t>
  </si>
  <si>
    <t>C85650B4F6F380</t>
  </si>
  <si>
    <t>FFBSR9U</t>
  </si>
  <si>
    <t>2025-11-27 20:23:15</t>
  </si>
  <si>
    <t>2025-11-21 14:52:03</t>
  </si>
  <si>
    <t>D731546CFC0738</t>
  </si>
  <si>
    <t>F4W5B48</t>
  </si>
  <si>
    <t>2025-11-26 16:48:13</t>
  </si>
  <si>
    <t>2025-11-21 13:06:03</t>
  </si>
  <si>
    <t>AFEDB1296A938B</t>
  </si>
  <si>
    <t>F37H32F</t>
  </si>
  <si>
    <t>2025-11-24 16:55:14</t>
  </si>
  <si>
    <t>2025-11-21 00:33:03</t>
  </si>
  <si>
    <t>FB15DA4890005A</t>
  </si>
  <si>
    <t>F9THK3S</t>
  </si>
  <si>
    <t>LuxusKollektion Dekohänger 4er Set Kordsamt Kissenbezug 45x45 cm Grün Serie</t>
  </si>
  <si>
    <t>2025-11-26 16:49:12</t>
  </si>
  <si>
    <t>2025-11-21 00:10:28</t>
  </si>
  <si>
    <t>D3073D47815AE4</t>
  </si>
  <si>
    <t>F94TTCV</t>
  </si>
  <si>
    <t>BDD8A5C4F93E3B</t>
  </si>
  <si>
    <t>F63W60G</t>
  </si>
  <si>
    <t>2025-11-24 17:57:07</t>
  </si>
  <si>
    <t>2025-11-20 17:40:07</t>
  </si>
  <si>
    <t>FWCU25F</t>
  </si>
  <si>
    <t>2025-11-24 14:20:12</t>
  </si>
  <si>
    <t>2025-11-20 09:46:03</t>
  </si>
  <si>
    <t>73EF5FE2ACE1FB</t>
  </si>
  <si>
    <t>FM0H95E</t>
  </si>
  <si>
    <t>2025-11-24 15:52:04</t>
  </si>
  <si>
    <t>2025-11-20 08:01:03</t>
  </si>
  <si>
    <t>B3A87899753084</t>
  </si>
  <si>
    <t>FF2AQHQ</t>
  </si>
  <si>
    <t>LuxusKollektion Grillbesteck-Set, 10-teilig, Edelstahl silber</t>
  </si>
  <si>
    <t>2025-11-21 15:19:25</t>
  </si>
  <si>
    <t>2025-11-18 20:42:04</t>
  </si>
  <si>
    <t>5A518CAE23E852</t>
  </si>
  <si>
    <t>F238K62</t>
  </si>
  <si>
    <t>2025-11-19 16:22:13</t>
  </si>
  <si>
    <t>2025-11-17 07:08:04</t>
  </si>
  <si>
    <t>FKBYWGZ</t>
  </si>
  <si>
    <t>2025-11-19 17:27:11</t>
  </si>
  <si>
    <t>2025-11-16 23:03:04</t>
  </si>
  <si>
    <t>FYS6PSB</t>
  </si>
  <si>
    <t>2025-11-20 15:50:13</t>
  </si>
  <si>
    <t>2025-11-16 18:45:03</t>
  </si>
  <si>
    <t>C1A7A24E00D364</t>
  </si>
  <si>
    <t>FTW8AZQ</t>
  </si>
  <si>
    <t>2025-11-21 15:19:27</t>
  </si>
  <si>
    <t>2025-11-16 18:01:04</t>
  </si>
  <si>
    <t>EF3417F10C73C0</t>
  </si>
  <si>
    <t>FTQ2U7B</t>
  </si>
  <si>
    <t>2025-11-20 19:58:13</t>
  </si>
  <si>
    <t>2025-11-16 14:21:06</t>
  </si>
  <si>
    <t>FWYV349</t>
  </si>
  <si>
    <t>2025-11-16 12:55:04</t>
  </si>
  <si>
    <t>FG5MSQ3</t>
  </si>
  <si>
    <t>2025-11-19 18:59:09</t>
  </si>
  <si>
    <t>2025-11-15 18:22:03</t>
  </si>
  <si>
    <t>6AEFA6D31EFBC7</t>
  </si>
  <si>
    <t>FKQ22TA</t>
  </si>
  <si>
    <t>2025-11-19 16:21:08</t>
  </si>
  <si>
    <t>2025-11-15 18:11:03</t>
  </si>
  <si>
    <t>4934C360AF6EEE</t>
  </si>
  <si>
    <t>F2XAAU8</t>
  </si>
  <si>
    <t>2025-11-14 15:39:14</t>
  </si>
  <si>
    <t>2025-11-12 19:13:09</t>
  </si>
  <si>
    <t>D0D89A8A9BDE95</t>
  </si>
  <si>
    <t>F5TYXU9</t>
  </si>
  <si>
    <t>2025-11-19 17:27:09</t>
  </si>
  <si>
    <t>2025-11-12 16:20:09</t>
  </si>
  <si>
    <t>FWYH73E</t>
  </si>
  <si>
    <t>2025-11-19 16:55:12</t>
  </si>
  <si>
    <t>2025-11-12 14:07:04</t>
  </si>
  <si>
    <t>FVV2EGM</t>
  </si>
  <si>
    <t>2025-11-17 15:29:18</t>
  </si>
  <si>
    <t>2025-11-10 23:04:04</t>
  </si>
  <si>
    <t>36830E8E0E0C9C</t>
  </si>
  <si>
    <t>FU4WP0E</t>
  </si>
  <si>
    <t>2025-11-19 17:57:03</t>
  </si>
  <si>
    <t>2025-11-10 16:04:03</t>
  </si>
  <si>
    <t>A24B54920BCDC3</t>
  </si>
  <si>
    <t>F28QEC4</t>
  </si>
  <si>
    <t>2025-11-22 14:46:10</t>
  </si>
  <si>
    <t>2025-11-09 18:45:03</t>
  </si>
  <si>
    <t>F8KYBZX</t>
  </si>
  <si>
    <t>2025-11-20 15:16:03</t>
  </si>
  <si>
    <t>2025-11-09 08:18:03</t>
  </si>
  <si>
    <t>B618EFA00F424B</t>
  </si>
  <si>
    <t>FPCTTZE</t>
  </si>
  <si>
    <t>2025-11-11 16:46:07</t>
  </si>
  <si>
    <t>2025-11-07 20:09:05</t>
  </si>
  <si>
    <t>73DB0F6C97B8F8</t>
  </si>
  <si>
    <t>FCMTTQT</t>
  </si>
  <si>
    <t>2025-11-11 16:47:08</t>
  </si>
  <si>
    <t>2025-11-07 16:32:03</t>
  </si>
  <si>
    <t>F8Y3P4X</t>
  </si>
  <si>
    <t>2025-11-12 23:05:05</t>
  </si>
  <si>
    <t>2025-11-05 21:48:05</t>
  </si>
  <si>
    <t>F4FE6HM</t>
  </si>
  <si>
    <t>2025-11-05 14:19:02</t>
  </si>
  <si>
    <t>C133D9AA7B4E78</t>
  </si>
  <si>
    <t>F2ZU2ZP</t>
  </si>
  <si>
    <t>2025-11-07 20:00:12</t>
  </si>
  <si>
    <t>2025-11-03 13:12:06</t>
  </si>
  <si>
    <t>B93D48AE0336D8</t>
  </si>
  <si>
    <t>FYHVPPX</t>
  </si>
  <si>
    <t>2025-11-10 11:30:12</t>
  </si>
  <si>
    <t>2025-11-02 18:15:05</t>
  </si>
  <si>
    <t>03D66AD81FB4EE</t>
  </si>
  <si>
    <t>FA7K0C3</t>
  </si>
  <si>
    <t>2025-11-06 16:23:06</t>
  </si>
  <si>
    <t>2025-11-02 17:47:07</t>
  </si>
  <si>
    <t>95CEAB7C4AB241</t>
  </si>
  <si>
    <t>FBFAM9T</t>
  </si>
  <si>
    <t>2025-11-02 17:13:04</t>
  </si>
  <si>
    <t>AEEE80B4EEC184</t>
  </si>
  <si>
    <t>FK9A0RG</t>
  </si>
  <si>
    <t>2025-11-12 01:09:09</t>
  </si>
  <si>
    <t>2025-10-31 15:17:02</t>
  </si>
  <si>
    <t>FAKUZUV</t>
  </si>
  <si>
    <t>2025-11-04 15:46:02</t>
  </si>
  <si>
    <t>2025-10-29 14:37:02</t>
  </si>
  <si>
    <t>0859ACF8941EE0</t>
  </si>
  <si>
    <t>FQ5KX82</t>
  </si>
  <si>
    <t>2025-11-04 15:40:10</t>
  </si>
  <si>
    <t>2025-10-29 11:49:04</t>
  </si>
  <si>
    <t>62DE412B513483</t>
  </si>
  <si>
    <t>FUG58G5</t>
  </si>
  <si>
    <t>2025-11-04 15:53:14</t>
  </si>
  <si>
    <t>2025-10-27 19:38:06</t>
  </si>
  <si>
    <t>7C9879F989E35E</t>
  </si>
  <si>
    <t>FAKFQ2G</t>
  </si>
  <si>
    <t>2025-10-29 16:31:04</t>
  </si>
  <si>
    <t>2025-10-27 08:25:04</t>
  </si>
  <si>
    <t>FS34KPE</t>
  </si>
  <si>
    <t>2025-10-29 16:30:13</t>
  </si>
  <si>
    <t>2025-10-27 00:21:05</t>
  </si>
  <si>
    <t>4D7D02D64C7383</t>
  </si>
  <si>
    <t>FFC4CF3</t>
  </si>
  <si>
    <t>Luxuskollektion Servierwagen Küchenwagen Rollen Barwagen 2 Ebenen Weinregal Holz Getränkewagen</t>
  </si>
  <si>
    <t>2025-10-31 20:35:02</t>
  </si>
  <si>
    <t>2025-10-26 00:41:02</t>
  </si>
  <si>
    <t>E8FD44D03C98D0</t>
  </si>
  <si>
    <t>F3XMKPV</t>
  </si>
  <si>
    <t>2025-10-25 17:31:02</t>
  </si>
  <si>
    <t>C9BD6DB3322677</t>
  </si>
  <si>
    <t>FVYB9XT</t>
  </si>
  <si>
    <t>2025-10-31 16:47:06</t>
  </si>
  <si>
    <t>2025-10-25 14:44:02</t>
  </si>
  <si>
    <t>C30131E3C6A020</t>
  </si>
  <si>
    <t>FKQHV8S</t>
  </si>
  <si>
    <t>2025-10-31 20:29:02</t>
  </si>
  <si>
    <t>2025-10-25 02:48:02</t>
  </si>
  <si>
    <t>F8XQ5CZ</t>
  </si>
  <si>
    <t>2025-10-30 21:05:02</t>
  </si>
  <si>
    <t>2025-10-24 18:29:02</t>
  </si>
  <si>
    <t>A95003DEE416E7</t>
  </si>
  <si>
    <t>F6FXBME</t>
  </si>
  <si>
    <t>2025-10-30 20:55:05</t>
  </si>
  <si>
    <t>2025-10-23 15:36:02</t>
  </si>
  <si>
    <t>C1B9EA24E80693</t>
  </si>
  <si>
    <t>FZ42CX4</t>
  </si>
  <si>
    <t>2025-10-22 15:57:03</t>
  </si>
  <si>
    <t>A3BBAF80B159C2</t>
  </si>
  <si>
    <t>F7SYA6K</t>
  </si>
  <si>
    <t>2025-10-29 15:50:20</t>
  </si>
  <si>
    <t>2025-10-21 21:51:02</t>
  </si>
  <si>
    <t>FVP8PKX</t>
  </si>
  <si>
    <t>2025-10-26 14:30:10</t>
  </si>
  <si>
    <t>2025-10-19 18:23:05</t>
  </si>
  <si>
    <t>2AEE3263FFCE78</t>
  </si>
  <si>
    <t>F4FW8E7</t>
  </si>
  <si>
    <t>2025-10-22 16:54:07</t>
  </si>
  <si>
    <t>2025-10-19 01:14:03</t>
  </si>
  <si>
    <t>61AB33BD6E86FF</t>
  </si>
  <si>
    <t>FM0BY45</t>
  </si>
  <si>
    <t>2025-10-21 16:32:12</t>
  </si>
  <si>
    <t>2025-10-18 14:31:02</t>
  </si>
  <si>
    <t>FZBCU57</t>
  </si>
  <si>
    <t>2025-10-23 15:45:06</t>
  </si>
  <si>
    <t>2025-10-17 11:45:02</t>
  </si>
  <si>
    <t>2787C1278D46F0</t>
  </si>
  <si>
    <t>F73XRGE</t>
  </si>
  <si>
    <t>2025-10-24 16:29:03</t>
  </si>
  <si>
    <t>2025-10-16 19:00:09</t>
  </si>
  <si>
    <t>F6M6ZC5</t>
  </si>
  <si>
    <t>2025-10-22 16:52:07</t>
  </si>
  <si>
    <t>2025-10-16 18:40:02</t>
  </si>
  <si>
    <t>2B7A7ADE48F22D</t>
  </si>
  <si>
    <t>F6RT0QF</t>
  </si>
  <si>
    <t>2025-10-23 15:45:05</t>
  </si>
  <si>
    <t>2025-10-16 13:50:05</t>
  </si>
  <si>
    <t>A2D92BF9AFBD87</t>
  </si>
  <si>
    <t>F8ZA9Z7</t>
  </si>
  <si>
    <t>2025-10-21 15:27:07</t>
  </si>
  <si>
    <t>2025-10-15 21:29:06</t>
  </si>
  <si>
    <t>C1150C301D7D45</t>
  </si>
  <si>
    <t>FFVK239</t>
  </si>
  <si>
    <t>2025-10-22 17:53:03</t>
  </si>
  <si>
    <t>2025-10-14 21:21:03</t>
  </si>
  <si>
    <t>FRGTBRS</t>
  </si>
  <si>
    <t>2025-10-27 06:02:02</t>
  </si>
  <si>
    <t>2025-10-13 22:26:02</t>
  </si>
  <si>
    <t>CE077A9D6E534E</t>
  </si>
  <si>
    <t>FBH3TMY</t>
  </si>
  <si>
    <t>2025-10-13 13:19:05</t>
  </si>
  <si>
    <t>F2FS6X6</t>
  </si>
  <si>
    <t>2025-10-21 15:45:02</t>
  </si>
  <si>
    <t>2025-10-12 20:07:05</t>
  </si>
  <si>
    <t>7FB22132E29FB6</t>
  </si>
  <si>
    <t>FP79BKR</t>
  </si>
  <si>
    <t>2025-10-12 20:04:02</t>
  </si>
  <si>
    <t>F6F6V2X</t>
  </si>
  <si>
    <t>2025-10-20 17:48:09</t>
  </si>
  <si>
    <t>2025-10-12 16:58:06</t>
  </si>
  <si>
    <t>FG307US</t>
  </si>
  <si>
    <t>2025-10-14 18:55:05</t>
  </si>
  <si>
    <t>2025-10-11 17:26:02</t>
  </si>
  <si>
    <t>FVMQTVA</t>
  </si>
  <si>
    <t>2025-10-19 16:40:15</t>
  </si>
  <si>
    <t>2025-10-11 15:53:04</t>
  </si>
  <si>
    <t>869BC87D2C42DB</t>
  </si>
  <si>
    <t>F2YMAGC</t>
  </si>
  <si>
    <t>Bürostuhl 200kg XXL mit breitem Federsitzkissen, extra breiter Sitzfläche, schwarz</t>
  </si>
  <si>
    <t>2025-10-18 13:40:10</t>
  </si>
  <si>
    <t>2025-10-11 15:01:07</t>
  </si>
  <si>
    <t>B95A24A346B6AE</t>
  </si>
  <si>
    <t>FFB8267</t>
  </si>
  <si>
    <t>2025-10-16 15:07:04</t>
  </si>
  <si>
    <t>2025-10-10 23:07:04</t>
  </si>
  <si>
    <t>966AF835AB294F</t>
  </si>
  <si>
    <t>FG24BC5</t>
  </si>
  <si>
    <t>2025-10-15 15:59:03</t>
  </si>
  <si>
    <t>2025-10-10 13:23:09</t>
  </si>
  <si>
    <t>C56DA3B3371AAA</t>
  </si>
  <si>
    <t>F7A8RYV</t>
  </si>
  <si>
    <t>2025-10-18 11:35:03</t>
  </si>
  <si>
    <t>2025-10-10 12:32:46</t>
  </si>
  <si>
    <t>2548E153AF9107</t>
  </si>
  <si>
    <t>FVEFEH6</t>
  </si>
  <si>
    <t>2025-10-16 14:48:06</t>
  </si>
  <si>
    <t>2025-10-10 09:53:05</t>
  </si>
  <si>
    <t>05BEAFD5648D80</t>
  </si>
  <si>
    <t>F40WFQ5</t>
  </si>
  <si>
    <t>2025-10-10 01:48:07</t>
  </si>
  <si>
    <t>FZYSCRU</t>
  </si>
  <si>
    <t>2025-10-14 18:55:08</t>
  </si>
  <si>
    <t>2025-10-09 22:49:05</t>
  </si>
  <si>
    <t>FHKAYKS</t>
  </si>
  <si>
    <t>2025-10-15 15:51:05</t>
  </si>
  <si>
    <t>2025-10-08 18:05:07</t>
  </si>
  <si>
    <t>F5PQKWE</t>
  </si>
  <si>
    <t>2025-10-08 17:29:06</t>
  </si>
  <si>
    <t>FS8PWGZ</t>
  </si>
  <si>
    <t>2025-10-14 18:55:07</t>
  </si>
  <si>
    <t>2025-10-07 18:47:07</t>
  </si>
  <si>
    <t>774C217050205F</t>
  </si>
  <si>
    <t>FMF224A</t>
  </si>
  <si>
    <t>2025-10-14 19:02:03</t>
  </si>
  <si>
    <t>2025-10-07 16:48:02</t>
  </si>
  <si>
    <t>7401AE196D56DE</t>
  </si>
  <si>
    <t>FYT3KFC</t>
  </si>
  <si>
    <t>2025-10-13 10:40:13</t>
  </si>
  <si>
    <t>2025-10-06 12:16:04</t>
  </si>
  <si>
    <t>81C34C491FEBDC</t>
  </si>
  <si>
    <t>FK033UQ</t>
  </si>
  <si>
    <t>2025-10-14 18:55:09</t>
  </si>
  <si>
    <t>2025-10-06 11:06:02</t>
  </si>
  <si>
    <t>F9U4625</t>
  </si>
  <si>
    <t>2025-10-14 19:02:02</t>
  </si>
  <si>
    <t>2025-10-06 07:53:05</t>
  </si>
  <si>
    <t>EF948B542D8D0C</t>
  </si>
  <si>
    <t>FSRG9VW</t>
  </si>
  <si>
    <t>2025-10-13 15:20:14</t>
  </si>
  <si>
    <t>2025-10-06 01:30:03</t>
  </si>
  <si>
    <t>832CF7103C8003</t>
  </si>
  <si>
    <t>F3FKWC5</t>
  </si>
  <si>
    <t>2025-10-15 17:08:08</t>
  </si>
  <si>
    <t>2025-10-05 22:11:03</t>
  </si>
  <si>
    <t>FPVSR4Y</t>
  </si>
  <si>
    <t>2025-10-09 15:50:13</t>
  </si>
  <si>
    <t>2025-10-05 18:48:02</t>
  </si>
  <si>
    <t>FAZ332R</t>
  </si>
  <si>
    <t>2025-10-11 13:44:04</t>
  </si>
  <si>
    <t>2025-10-05 16:31:03</t>
  </si>
  <si>
    <t>AB95A44BDD7984</t>
  </si>
  <si>
    <t>F2Y96Q3</t>
  </si>
  <si>
    <t>2025-10-09 11:30:11</t>
  </si>
  <si>
    <t>2025-10-05 14:55:03</t>
  </si>
  <si>
    <t>FA8694763551F1</t>
  </si>
  <si>
    <t>FWKP4YR</t>
  </si>
  <si>
    <t>2025-10-09 17:21:06</t>
  </si>
  <si>
    <t>2025-10-05 12:17:03</t>
  </si>
  <si>
    <t>F93MFQ3</t>
  </si>
  <si>
    <t>2025-10-04 20:45:02</t>
  </si>
  <si>
    <t>78DC4DAD64B9F2</t>
  </si>
  <si>
    <t>FZTBVY0</t>
  </si>
  <si>
    <t>2025-10-11 11:40:03</t>
  </si>
  <si>
    <t>2025-10-04 16:39:04</t>
  </si>
  <si>
    <t>F09E5ZE</t>
  </si>
  <si>
    <t>2025-10-08 17:06:05</t>
  </si>
  <si>
    <t>2025-10-02 16:26:02</t>
  </si>
  <si>
    <t>936792A1B2FB95</t>
  </si>
  <si>
    <t>FX73S8Z</t>
  </si>
  <si>
    <t>2025-10-01 09:33:06</t>
  </si>
  <si>
    <t>FKYUUMV</t>
  </si>
  <si>
    <t>F64WT9S</t>
  </si>
  <si>
    <t>2025-09-29 15:20:02</t>
  </si>
  <si>
    <t>D088464315925B</t>
  </si>
  <si>
    <t>F86E7MU</t>
  </si>
  <si>
    <t>2025-10-02 19:58:02</t>
  </si>
  <si>
    <t>2025-09-28 22:27:06</t>
  </si>
  <si>
    <t>F9ZGAF8</t>
  </si>
  <si>
    <t>2025-10-08 17:06:06</t>
  </si>
  <si>
    <t>2025-09-28 22:12:03</t>
  </si>
  <si>
    <t>F6FZH2G</t>
  </si>
  <si>
    <t>2025-09-26 22:49:04</t>
  </si>
  <si>
    <t>FWR5W35</t>
  </si>
  <si>
    <t>2025-10-02 19:40:05</t>
  </si>
  <si>
    <t>2025-09-26 15:58:03</t>
  </si>
  <si>
    <t>478BED1AC94A44</t>
  </si>
  <si>
    <t>FCXHE98</t>
  </si>
  <si>
    <t>2025-10-02 19:48:02</t>
  </si>
  <si>
    <t>2025-09-24 21:49:02</t>
  </si>
  <si>
    <t>F06Z7YQ</t>
  </si>
  <si>
    <t>2025-10-02 16:38:06</t>
  </si>
  <si>
    <t>2025-09-24 21:29:04</t>
  </si>
  <si>
    <t>7605E6CC2CA045</t>
  </si>
  <si>
    <t>FW8F0HK</t>
  </si>
  <si>
    <t>2025-09-23 23:39:02</t>
  </si>
  <si>
    <t>FGBVQE0</t>
  </si>
  <si>
    <t>2025-10-08 17:52:03</t>
  </si>
  <si>
    <t>2025-09-23 14:32:02</t>
  </si>
  <si>
    <t>61937D5A91A9F0</t>
  </si>
  <si>
    <t>FEB3WEH</t>
  </si>
  <si>
    <t>LuxusKollektion 'XBEN' erhöhter Hundenapf 5-stufig verstellbar, Edelstahl silber / schwarz</t>
  </si>
  <si>
    <t>2025-09-29 13:18:02</t>
  </si>
  <si>
    <t>2025-09-22 11:27:03</t>
  </si>
  <si>
    <t>FR6PTR0</t>
  </si>
  <si>
    <t>2025-10-02 12:09:10</t>
  </si>
  <si>
    <t>2025-09-21 12:52:02</t>
  </si>
  <si>
    <t>8AD1E1FA49958A</t>
  </si>
  <si>
    <t>FGE50C9</t>
  </si>
  <si>
    <t>2025-09-25 19:17:02</t>
  </si>
  <si>
    <t>2025-09-20 11:03:03</t>
  </si>
  <si>
    <t>D593AE29443DE3</t>
  </si>
  <si>
    <t>FWZX43V</t>
  </si>
  <si>
    <t>2025-09-25 19:18:02</t>
  </si>
  <si>
    <t>2025-09-19 15:57:07</t>
  </si>
  <si>
    <t>F8YF8WW</t>
  </si>
  <si>
    <t>2025-10-02 12:08:06</t>
  </si>
  <si>
    <t>2025-09-19 13:19:02</t>
  </si>
  <si>
    <t>FAA3TBQ</t>
  </si>
  <si>
    <t>2025-09-29 12:13:10</t>
  </si>
  <si>
    <t>2025-09-17 16:37:05</t>
  </si>
  <si>
    <t>FXEQB7W</t>
  </si>
  <si>
    <t>2025-09-30 16:59:04</t>
  </si>
  <si>
    <t>2025-09-16 23:10:07</t>
  </si>
  <si>
    <t>C6FD67B8B8981B</t>
  </si>
  <si>
    <t>F5EM27E</t>
  </si>
  <si>
    <t>2025-09-25 17:20:13</t>
  </si>
  <si>
    <t>2025-09-16 13:31:05</t>
  </si>
  <si>
    <t>C1DB6AB10AB3B9</t>
  </si>
  <si>
    <t>F8ZFX0Z</t>
  </si>
  <si>
    <t>2025-09-24 18:31:03</t>
  </si>
  <si>
    <t>2025-09-15 23:17:04</t>
  </si>
  <si>
    <t>6973DD37DBAEA6</t>
  </si>
  <si>
    <t>FPPAE2A</t>
  </si>
  <si>
    <t>2025-09-23 19:25:05</t>
  </si>
  <si>
    <t>2025-09-15 19:22:02</t>
  </si>
  <si>
    <t>0D91F5FF2AE3F4</t>
  </si>
  <si>
    <t>FY8U7WW</t>
  </si>
  <si>
    <t>LuxusKollektion Tischtennis Schläger Set mit 2 Schläger und 3 Bällen</t>
  </si>
  <si>
    <t>2025-09-23 18:37:04</t>
  </si>
  <si>
    <t>2025-09-15 18:19:06</t>
  </si>
  <si>
    <t>3B82794640D215</t>
  </si>
  <si>
    <t>F84UY42</t>
  </si>
  <si>
    <t>2025-09-22 03:00:10</t>
  </si>
  <si>
    <t>2025-09-14 18:46:02</t>
  </si>
  <si>
    <t>FHXSC7C</t>
  </si>
  <si>
    <t>2025-09-20 11:38:02</t>
  </si>
  <si>
    <t>2025-09-14 11:58:04</t>
  </si>
  <si>
    <t>71313B1139013C</t>
  </si>
  <si>
    <t>FQV00TU</t>
  </si>
  <si>
    <t>2025-09-17 14:40:17</t>
  </si>
  <si>
    <t>2025-09-14 10:18:04</t>
  </si>
  <si>
    <t>DE037C73168718</t>
  </si>
  <si>
    <t>FM7AUKV</t>
  </si>
  <si>
    <t>FFH446P</t>
  </si>
  <si>
    <t>2025-09-18 19:36:02</t>
  </si>
  <si>
    <t>2025-09-13 08:35:02</t>
  </si>
  <si>
    <t>5DFF187C32904E</t>
  </si>
  <si>
    <t>F6UXU2E</t>
  </si>
  <si>
    <t>2025-09-18 17:41:10</t>
  </si>
  <si>
    <t>2025-09-11 17:29:04</t>
  </si>
  <si>
    <t>C75C7B4B956345</t>
  </si>
  <si>
    <t>FPPRP5W</t>
  </si>
  <si>
    <t>2025-09-18 17:23:04</t>
  </si>
  <si>
    <t>2025-09-11 08:03:08</t>
  </si>
  <si>
    <t>95E9A262188185</t>
  </si>
  <si>
    <t>FYMM8W3</t>
  </si>
  <si>
    <t>2025-09-16 20:22:06</t>
  </si>
  <si>
    <t>2025-09-10 22:10:02</t>
  </si>
  <si>
    <t>0C9948AE15ABB9</t>
  </si>
  <si>
    <t>FRV70VG</t>
  </si>
  <si>
    <t>2025-09-18 17:15:06</t>
  </si>
  <si>
    <t>2025-09-09 21:50:03</t>
  </si>
  <si>
    <t>1300CC87466484</t>
  </si>
  <si>
    <t>F5US3PV</t>
  </si>
  <si>
    <t>2025-09-15 14:48:06</t>
  </si>
  <si>
    <t>2025-09-08 15:10:10</t>
  </si>
  <si>
    <t>53D7D424149A8D</t>
  </si>
  <si>
    <t>FA8MXQH</t>
  </si>
  <si>
    <t>2025-09-10 20:46:03</t>
  </si>
  <si>
    <t>2025-09-08 11:25:05</t>
  </si>
  <si>
    <t>FP5EHB9</t>
  </si>
  <si>
    <t>2025-09-16 14:47:07</t>
  </si>
  <si>
    <t>2025-09-06 16:20:02</t>
  </si>
  <si>
    <t>24345A6B0A9727</t>
  </si>
  <si>
    <t>FK087G6</t>
  </si>
  <si>
    <t>2025-09-16 14:47:06</t>
  </si>
  <si>
    <t>2025-09-06 15:05:03</t>
  </si>
  <si>
    <t>5300E85FE003C2</t>
  </si>
  <si>
    <t>F6GE9AA</t>
  </si>
  <si>
    <t>2025-09-16 14:46:03</t>
  </si>
  <si>
    <t>2025-09-06 10:34:03</t>
  </si>
  <si>
    <t>4FB9E40AE5C50D</t>
  </si>
  <si>
    <t>F6RE4MH</t>
  </si>
  <si>
    <t>2025-09-20 06:38:06</t>
  </si>
  <si>
    <t>2025-09-05 18:54:06</t>
  </si>
  <si>
    <t>D20B7E8E835344</t>
  </si>
  <si>
    <t>FQXY0S6</t>
  </si>
  <si>
    <t>2025-09-10 17:46:05</t>
  </si>
  <si>
    <t>2025-09-05 16:56:05</t>
  </si>
  <si>
    <t>34275538F2AABC</t>
  </si>
  <si>
    <t>F9SQFC9</t>
  </si>
  <si>
    <t>2025-09-13 17:26:06</t>
  </si>
  <si>
    <t>2025-09-04 23:15:03</t>
  </si>
  <si>
    <t>110782DB62BC6B</t>
  </si>
  <si>
    <t>FP23TCT</t>
  </si>
  <si>
    <t>2025-09-10 16:30:07</t>
  </si>
  <si>
    <t>2025-09-04 20:46:02</t>
  </si>
  <si>
    <t>D661DF1CFCFB0A</t>
  </si>
  <si>
    <t>FCW0TGH</t>
  </si>
  <si>
    <t>2025-09-04 19:43:03</t>
  </si>
  <si>
    <t>FEB5KTM</t>
  </si>
  <si>
    <t>2025-09-20 06:38:05</t>
  </si>
  <si>
    <t>2025-09-04 00:10:12</t>
  </si>
  <si>
    <t>FH75956</t>
  </si>
  <si>
    <t>2025-09-10 16:31:03</t>
  </si>
  <si>
    <t>2025-09-03 00:18:02</t>
  </si>
  <si>
    <t>AE56B84234A994</t>
  </si>
  <si>
    <t>FGBFB2K</t>
  </si>
  <si>
    <t>2025-09-02 14:30:05</t>
  </si>
  <si>
    <t>A5466FD88F8CB8</t>
  </si>
  <si>
    <t>FZBZSQ6</t>
  </si>
  <si>
    <t>2025-09-09 19:47:06</t>
  </si>
  <si>
    <t>2025-09-02 13:37:03</t>
  </si>
  <si>
    <t>F6VSGZC</t>
  </si>
  <si>
    <t>2025-09-08 20:05:04</t>
  </si>
  <si>
    <t>2025-09-02 09:57:04</t>
  </si>
  <si>
    <t>0C5F7169B0E2F7</t>
  </si>
  <si>
    <t>FVTEYUP</t>
  </si>
  <si>
    <t>2025-09-02 07:43:03</t>
  </si>
  <si>
    <t>B34D18CC4C467C</t>
  </si>
  <si>
    <t>FKXY8GX</t>
  </si>
  <si>
    <t>2025-09-06 14:30:12</t>
  </si>
  <si>
    <t>2025-08-31 16:31:04</t>
  </si>
  <si>
    <t>FXGEA3T</t>
  </si>
  <si>
    <t>2025-09-06 16:35:04</t>
  </si>
  <si>
    <t>2025-08-31 00:26:02</t>
  </si>
  <si>
    <t>EE0797E422C8D4</t>
  </si>
  <si>
    <t>FSUQ944</t>
  </si>
  <si>
    <t>2025-09-04 17:35:07</t>
  </si>
  <si>
    <t>2025-08-30 17:40:03</t>
  </si>
  <si>
    <t>F7MSTAW</t>
  </si>
  <si>
    <t>2025-09-03 19:19:02</t>
  </si>
  <si>
    <t>2025-08-30 13:42:04</t>
  </si>
  <si>
    <t>F47CECB7B09DD6</t>
  </si>
  <si>
    <t>F8F7GQG</t>
  </si>
  <si>
    <t>FR2MW5G</t>
  </si>
  <si>
    <t>2025-09-10 15:02:03</t>
  </si>
  <si>
    <t>2025-08-28 21:17:02</t>
  </si>
  <si>
    <t>315E024E9873B4</t>
  </si>
  <si>
    <t>FK7QB2Z</t>
  </si>
  <si>
    <t>2025-08-26 11:03:02</t>
  </si>
  <si>
    <t>FHRPYY5</t>
  </si>
  <si>
    <t>2025-09-08 06:39:08</t>
  </si>
  <si>
    <t>2025-08-26 10:38:02</t>
  </si>
  <si>
    <t>F0Q6GSX</t>
  </si>
  <si>
    <t>2025-09-04 17:35:06</t>
  </si>
  <si>
    <t>2025-08-24 19:39:05</t>
  </si>
  <si>
    <t>828C0927F560D0</t>
  </si>
  <si>
    <t>F76GMT9</t>
  </si>
  <si>
    <t>ODK Eckschreibtisch mit 4 Schubladen, Steckdosen, USB &amp; LED, Schwarz, 75,4 x 100 x 167 cm</t>
  </si>
  <si>
    <t>2025-08-24 18:40:03</t>
  </si>
  <si>
    <t>ACF7B1C4A6B455</t>
  </si>
  <si>
    <t>F9UAQCG</t>
  </si>
  <si>
    <t>2025-09-02 17:49:02</t>
  </si>
  <si>
    <t>2025-08-24 12:28:04</t>
  </si>
  <si>
    <t>EDFFD17A816418</t>
  </si>
  <si>
    <t>FPRMH65</t>
  </si>
  <si>
    <t>2025-09-04 17:36:05</t>
  </si>
  <si>
    <t>2025-08-24 02:43:05</t>
  </si>
  <si>
    <t>0871D54B76AF83</t>
  </si>
  <si>
    <t>FC6C76A</t>
  </si>
  <si>
    <t>2025-08-28 22:41:05</t>
  </si>
  <si>
    <t>2025-08-23 15:01:03</t>
  </si>
  <si>
    <t>29BB75BC49252C</t>
  </si>
  <si>
    <t>FR3TUM9</t>
  </si>
  <si>
    <t>LuxusKollektion Campingstuhl Isomatte Selbstaufblasend 10cm Camping Outdoor Schlafmatte Fußpumpe</t>
  </si>
  <si>
    <t>2025-08-23 12:29:09</t>
  </si>
  <si>
    <t>FM7BGAB</t>
  </si>
  <si>
    <t>2025-08-22 20:55:02</t>
  </si>
  <si>
    <t>FF50KTA</t>
  </si>
  <si>
    <t>2025-08-22 17:37:02</t>
  </si>
  <si>
    <t>85C435AAFD5864</t>
  </si>
  <si>
    <t>F6C2X5W</t>
  </si>
  <si>
    <t>2025-08-29 13:30:09</t>
  </si>
  <si>
    <t>2025-08-22 16:06:02</t>
  </si>
  <si>
    <t>FPF0M0U</t>
  </si>
  <si>
    <t>2025-08-28 22:42:05</t>
  </si>
  <si>
    <t>2025-08-22 11:54:03</t>
  </si>
  <si>
    <t>AB023700341403</t>
  </si>
  <si>
    <t>FRKSQCR</t>
  </si>
  <si>
    <t>2025-08-28 21:22:02</t>
  </si>
  <si>
    <t>2025-08-22 09:10:08</t>
  </si>
  <si>
    <t>38B07181A70458</t>
  </si>
  <si>
    <t>F3CT2RX</t>
  </si>
  <si>
    <t>Grill Abdeckhaube, 210D-Oxford-Gewebe schwarz, 77x 77 x 90 cm</t>
  </si>
  <si>
    <t>2025-08-21 14:22:05</t>
  </si>
  <si>
    <t>FA24KR3</t>
  </si>
  <si>
    <t>2025-08-27 15:46:03</t>
  </si>
  <si>
    <t>2025-08-21 11:46:02</t>
  </si>
  <si>
    <t>2ACED9B06C085A</t>
  </si>
  <si>
    <t>F7YCH9Z</t>
  </si>
  <si>
    <t>2025-09-06 14:20:09</t>
  </si>
  <si>
    <t>2025-08-20 19:20:08</t>
  </si>
  <si>
    <t>F4F76EF9E81E11</t>
  </si>
  <si>
    <t>FEB6G9X</t>
  </si>
  <si>
    <t>2025-09-06 14:10:15</t>
  </si>
  <si>
    <t>2025-08-20 19:10:04</t>
  </si>
  <si>
    <t>FWBW9SK</t>
  </si>
  <si>
    <t>2025-09-05 10:34:05</t>
  </si>
  <si>
    <t>2025-08-20 07:05:05</t>
  </si>
  <si>
    <t>FCGCX9W</t>
  </si>
  <si>
    <t>2025-08-26 17:06:03</t>
  </si>
  <si>
    <t>2025-08-20 00:10:09</t>
  </si>
  <si>
    <t>FZC33MC</t>
  </si>
  <si>
    <t>2025-08-23 17:56:06</t>
  </si>
  <si>
    <t>2025-08-18 23:36:03</t>
  </si>
  <si>
    <t>2B9E3D45E95606</t>
  </si>
  <si>
    <t>FWARZFG</t>
  </si>
  <si>
    <t>2025-08-27 14:21:06</t>
  </si>
  <si>
    <t>2025-08-18 22:36:02</t>
  </si>
  <si>
    <t>F327DAA095CA2D</t>
  </si>
  <si>
    <t>F36ABMX</t>
  </si>
  <si>
    <t>2025-08-27 14:20:10</t>
  </si>
  <si>
    <t>2025-08-18 14:37:02</t>
  </si>
  <si>
    <t>FKY5732</t>
  </si>
  <si>
    <t>2025-08-25 19:05:02</t>
  </si>
  <si>
    <t>2025-08-18 08:54:02</t>
  </si>
  <si>
    <t>809B1D94968450</t>
  </si>
  <si>
    <t>F0HQRH3</t>
  </si>
  <si>
    <t>2025-08-17 18:43:05</t>
  </si>
  <si>
    <t>F4W6HB2</t>
  </si>
  <si>
    <t>2025-08-27 14:21:07</t>
  </si>
  <si>
    <t>2025-08-17 18:00:11</t>
  </si>
  <si>
    <t>9B3CCC21125BF6</t>
  </si>
  <si>
    <t>FETXYMA</t>
  </si>
  <si>
    <t>2025-08-21 19:30:02</t>
  </si>
  <si>
    <t>2025-08-16 12:41:05</t>
  </si>
  <si>
    <t>F44VSUB</t>
  </si>
  <si>
    <t>2025-08-26 15:35:07</t>
  </si>
  <si>
    <t>2025-08-16 11:49:02</t>
  </si>
  <si>
    <t>AE6A908CBD4271</t>
  </si>
  <si>
    <t>FY25C2W</t>
  </si>
  <si>
    <t>2025-08-21 19:53:06</t>
  </si>
  <si>
    <t>2025-08-14 17:37:06</t>
  </si>
  <si>
    <t>399980A333B312</t>
  </si>
  <si>
    <t>F5TFZ48</t>
  </si>
  <si>
    <t>2025-08-15 18:56:05</t>
  </si>
  <si>
    <t>2025-08-10 21:40:11</t>
  </si>
  <si>
    <t>FSEFWTG</t>
  </si>
  <si>
    <t>2025-08-12 19:32:03</t>
  </si>
  <si>
    <t>2025-08-09 17:52:02</t>
  </si>
  <si>
    <t>136FE48B1B7548</t>
  </si>
  <si>
    <t>F6CR4WZ</t>
  </si>
  <si>
    <t>2025-08-12 19:31:05</t>
  </si>
  <si>
    <t>2025-08-08 23:06:02</t>
  </si>
  <si>
    <t>D165E14E102A3B</t>
  </si>
  <si>
    <t>F88678Z</t>
  </si>
  <si>
    <t>2025-08-13 19:17:06</t>
  </si>
  <si>
    <t>2025-08-08 12:25:03</t>
  </si>
  <si>
    <t>4B7369BB537924</t>
  </si>
  <si>
    <t>FYEYTGR</t>
  </si>
  <si>
    <t>2025-08-25 09:48:44</t>
  </si>
  <si>
    <t>2025-08-07 11:09:04</t>
  </si>
  <si>
    <t>ECB2C64FC5C406</t>
  </si>
  <si>
    <t>FBQSPZB</t>
  </si>
  <si>
    <t>2025-08-06 15:46:06</t>
  </si>
  <si>
    <t>FKSRMWK</t>
  </si>
  <si>
    <t>2025-08-11 15:32:04</t>
  </si>
  <si>
    <t>2025-08-05 17:35:04</t>
  </si>
  <si>
    <t>908B7D5CE67627</t>
  </si>
  <si>
    <t>FBE5E28</t>
  </si>
  <si>
    <t>2025-08-09 17:11:04</t>
  </si>
  <si>
    <t>2025-08-04 22:41:04</t>
  </si>
  <si>
    <t>FA1D42BC7148A4</t>
  </si>
  <si>
    <t>FGF77CA</t>
  </si>
  <si>
    <t>2025-08-09 17:09:05</t>
  </si>
  <si>
    <t>2025-08-03 21:07:03</t>
  </si>
  <si>
    <t>A4A0A49FAA424F</t>
  </si>
  <si>
    <t>F327YRK</t>
  </si>
  <si>
    <t>2025-08-09 16:58:02</t>
  </si>
  <si>
    <t>2025-08-03 14:21:06</t>
  </si>
  <si>
    <t>7785B4E01DCC78</t>
  </si>
  <si>
    <t>F98H2X4</t>
  </si>
  <si>
    <t>2025-08-02 22:59:03</t>
  </si>
  <si>
    <t>D507183A5F6BEE</t>
  </si>
  <si>
    <t>FP4VGBX</t>
  </si>
  <si>
    <t>LuxusKollektion Gamingtisch mit LED-Beleuchtung, Steckdose und Schubladen, 151 x 50 cm</t>
  </si>
  <si>
    <t>55B8B18682D2E1</t>
  </si>
  <si>
    <t>F0ZSQGS</t>
  </si>
  <si>
    <t>2025-07-31 21:01:05</t>
  </si>
  <si>
    <t>BEFDCBCF7E1E1D</t>
  </si>
  <si>
    <t>F5ZTYKX</t>
  </si>
  <si>
    <t>2025-08-07 17:08:04</t>
  </si>
  <si>
    <t>2025-07-30 21:39:03</t>
  </si>
  <si>
    <t>A418FF774B792F</t>
  </si>
  <si>
    <t>FTB7R9E</t>
  </si>
  <si>
    <t>2025-08-06 19:35:02</t>
  </si>
  <si>
    <t>2025-07-30 20:41:04</t>
  </si>
  <si>
    <t>FTBCHT8</t>
  </si>
  <si>
    <t>2025-08-04 17:20:06</t>
  </si>
  <si>
    <t>2025-07-29 07:18:06</t>
  </si>
  <si>
    <t>FZKBEEX</t>
  </si>
  <si>
    <t>2025-07-31 20:48:05</t>
  </si>
  <si>
    <t>2025-07-28 12:07:51</t>
  </si>
  <si>
    <t>E7A615333E5B57</t>
  </si>
  <si>
    <t>FTWZE6B</t>
  </si>
  <si>
    <t>2025-07-30 20:28:02</t>
  </si>
  <si>
    <t>2025-07-27 22:21:04</t>
  </si>
  <si>
    <t>563CC9744B52A7</t>
  </si>
  <si>
    <t>FYQAB79</t>
  </si>
  <si>
    <t>2025-08-05 10:40:07</t>
  </si>
  <si>
    <t>2025-07-27 22:21:03</t>
  </si>
  <si>
    <t>1DE60872637925</t>
  </si>
  <si>
    <t>FF5QR6B</t>
  </si>
  <si>
    <t>2025-08-04 19:43:03</t>
  </si>
  <si>
    <t>2025-07-27 21:19:05</t>
  </si>
  <si>
    <t>FUBXGAH</t>
  </si>
  <si>
    <t>2025-07-31 20:49:05</t>
  </si>
  <si>
    <t>2025-07-27 10:28:02</t>
  </si>
  <si>
    <t>F24QKW2</t>
  </si>
  <si>
    <t>2025-08-04 15:32:03</t>
  </si>
  <si>
    <t>2025-07-27 08:44:02</t>
  </si>
  <si>
    <t>E4B60AD8918A58</t>
  </si>
  <si>
    <t>F0H3292</t>
  </si>
  <si>
    <t>2025-07-29 19:21:03</t>
  </si>
  <si>
    <t>2025-07-26 12:50:03</t>
  </si>
  <si>
    <t>A04A7F9FD99548</t>
  </si>
  <si>
    <t>FCF7Z8R</t>
  </si>
  <si>
    <t>FFPZFAH</t>
  </si>
  <si>
    <t>2025-07-30 20:26:06</t>
  </si>
  <si>
    <t>2025-07-24 11:37:03</t>
  </si>
  <si>
    <t>71E618B2B91A46</t>
  </si>
  <si>
    <t>FK85GX3</t>
  </si>
  <si>
    <t>Luxus Kollektion Grillbesteck-Set mit Tasche, 9-teilig, Edelstahl silber</t>
  </si>
  <si>
    <t>2025-07-28 19:56:07</t>
  </si>
  <si>
    <t>2025-07-22 20:57:02</t>
  </si>
  <si>
    <t>C7678704CEBC14</t>
  </si>
  <si>
    <t>FF6WR9G</t>
  </si>
  <si>
    <t>2025-07-24 14:47:09</t>
  </si>
  <si>
    <t>2025-07-22 18:20:08</t>
  </si>
  <si>
    <t>F9UTV4V</t>
  </si>
  <si>
    <t>2025-07-28 17:12:02</t>
  </si>
  <si>
    <t>2025-07-22 15:59:07</t>
  </si>
  <si>
    <t>FCE551C25E3CA6</t>
  </si>
  <si>
    <t>FPQM586</t>
  </si>
  <si>
    <t>2025-07-29 16:57:04</t>
  </si>
  <si>
    <t>2025-07-22 12:13:02</t>
  </si>
  <si>
    <t>A5598EC9CE4231</t>
  </si>
  <si>
    <t>FK4SBCQ</t>
  </si>
  <si>
    <t>2025-07-23 19:57:05</t>
  </si>
  <si>
    <t>2025-07-21 00:50:02</t>
  </si>
  <si>
    <t>FM0SYBK</t>
  </si>
  <si>
    <t>2025-07-24 13:35:02</t>
  </si>
  <si>
    <t>2025-07-20 14:20:03</t>
  </si>
  <si>
    <t>A423FFCDF3CB6A</t>
  </si>
  <si>
    <t>FAXPV58</t>
  </si>
  <si>
    <t>2025-07-24 16:51:04</t>
  </si>
  <si>
    <t>2025-07-20 13:55:02</t>
  </si>
  <si>
    <t>FVMVUKP</t>
  </si>
  <si>
    <t>2025-07-22 21:01:02</t>
  </si>
  <si>
    <t>2025-07-18 18:06:02</t>
  </si>
  <si>
    <t>E99B054D331355</t>
  </si>
  <si>
    <t>F2W3MW0</t>
  </si>
  <si>
    <t>2025-07-21 20:58:05</t>
  </si>
  <si>
    <t>2025-07-17 09:28:03</t>
  </si>
  <si>
    <t>72D9E0738AA070</t>
  </si>
  <si>
    <t>FC8ZA7E</t>
  </si>
  <si>
    <t>2025-07-21 20:08:03</t>
  </si>
  <si>
    <t>2025-07-16 14:52:05</t>
  </si>
  <si>
    <t>749FB84694691A</t>
  </si>
  <si>
    <t>FQ2K7QE</t>
  </si>
  <si>
    <t>'TNTOR ' 3IN1 Robuste Grillbürste, Edelstahl Schwarz</t>
  </si>
  <si>
    <t>2025-07-15 12:19:05</t>
  </si>
  <si>
    <t>2025-07-13 09:01:02</t>
  </si>
  <si>
    <t>A7429A5A9FC640</t>
  </si>
  <si>
    <t>FWMHPC7</t>
  </si>
  <si>
    <t>2025-07-16 20:10:02</t>
  </si>
  <si>
    <t>2025-07-12 12:00:03</t>
  </si>
  <si>
    <t>FVFG0QF</t>
  </si>
  <si>
    <t>2025-07-18 17:05:02</t>
  </si>
  <si>
    <t>2025-07-12 11:26:04</t>
  </si>
  <si>
    <t>FS9WMU4</t>
  </si>
  <si>
    <t>2025-07-16 03:20:09</t>
  </si>
  <si>
    <t>2025-07-11 22:51:05</t>
  </si>
  <si>
    <t>A5C3D3E9E1774F</t>
  </si>
  <si>
    <t>FWY66EP</t>
  </si>
  <si>
    <t>2025-07-14 17:29:05</t>
  </si>
  <si>
    <t>2025-07-09 12:29:03</t>
  </si>
  <si>
    <t>E653A5CCE02C98</t>
  </si>
  <si>
    <t>F03C7CH</t>
  </si>
  <si>
    <t>2025-07-15 17:02:02</t>
  </si>
  <si>
    <t>2025-07-08 16:32:07</t>
  </si>
  <si>
    <t>10F820AFC00B23</t>
  </si>
  <si>
    <t>FT6S73W</t>
  </si>
  <si>
    <t>2025-07-10 19:58:07</t>
  </si>
  <si>
    <t>2025-07-05 11:55:06</t>
  </si>
  <si>
    <t>EEDF8E2614AA48</t>
  </si>
  <si>
    <t>F7ES8UU</t>
  </si>
  <si>
    <t>2025-07-10 19:11:04</t>
  </si>
  <si>
    <t>2025-07-04 11:35:04</t>
  </si>
  <si>
    <t>FU9A8HQ</t>
  </si>
  <si>
    <t>2025-07-09 20:35:02</t>
  </si>
  <si>
    <t>2025-07-03 23:40:03</t>
  </si>
  <si>
    <t>CB6555826F0E00</t>
  </si>
  <si>
    <t>FXR2PUT</t>
  </si>
  <si>
    <t>2025-07-08 19:26:03</t>
  </si>
  <si>
    <t>2025-07-03 21:26:05</t>
  </si>
  <si>
    <t>109A0C46B0D292</t>
  </si>
  <si>
    <t>F98U26A</t>
  </si>
  <si>
    <t>2025-06-30 22:21:04</t>
  </si>
  <si>
    <t>FVA3VZB</t>
  </si>
  <si>
    <t>2025-07-04 17:57:03</t>
  </si>
  <si>
    <t>2025-06-29 20:11:03</t>
  </si>
  <si>
    <t>F64TKPA</t>
  </si>
  <si>
    <t>2025-07-04 18:07:04</t>
  </si>
  <si>
    <t>2025-06-29 00:14:03</t>
  </si>
  <si>
    <t>536BEB8A047612</t>
  </si>
  <si>
    <t>F4YX02S</t>
  </si>
  <si>
    <t>2025-07-02 19:09:02</t>
  </si>
  <si>
    <t>2025-06-25 18:05:02</t>
  </si>
  <si>
    <t>FR79XM6</t>
  </si>
  <si>
    <t>2025-07-02 20:00:04</t>
  </si>
  <si>
    <t>2025-06-24 21:37:03</t>
  </si>
  <si>
    <t>524ED674FAD989</t>
  </si>
  <si>
    <t>FPB49XQ</t>
  </si>
  <si>
    <t>2025-07-01 10:21:07</t>
  </si>
  <si>
    <t>2025-06-24 16:15:03</t>
  </si>
  <si>
    <t>6593664DDC79C3</t>
  </si>
  <si>
    <t>F653ASM</t>
  </si>
  <si>
    <t>2025-07-01 20:22:04</t>
  </si>
  <si>
    <t>2025-06-24 14:01:06</t>
  </si>
  <si>
    <t>FGT9ECB</t>
  </si>
  <si>
    <t>2025-07-01 17:25:04</t>
  </si>
  <si>
    <t>2025-06-24 09:20:03</t>
  </si>
  <si>
    <t>FV5V786</t>
  </si>
  <si>
    <t>2025-07-07 19:36:02</t>
  </si>
  <si>
    <t>2025-06-21 12:56:04</t>
  </si>
  <si>
    <t>1A49714F50992A</t>
  </si>
  <si>
    <t>FFE0C64</t>
  </si>
  <si>
    <t>7037CC698AB3F7</t>
  </si>
  <si>
    <t>F0S8QGR</t>
  </si>
  <si>
    <t>2025-06-24 15:59:03</t>
  </si>
  <si>
    <t>2025-06-18 13:50:07</t>
  </si>
  <si>
    <t>F33MY3F</t>
  </si>
  <si>
    <t>2025-06-25 20:43:06</t>
  </si>
  <si>
    <t>2025-06-18 11:33:07</t>
  </si>
  <si>
    <t>3BA4A72B2BDC4B</t>
  </si>
  <si>
    <t>FY4PM48</t>
  </si>
  <si>
    <t>2025-06-23 20:24:03</t>
  </si>
  <si>
    <t>2025-06-17 17:57:06</t>
  </si>
  <si>
    <t>FTX3TSQ</t>
  </si>
  <si>
    <t>2025-06-24 17:10:05</t>
  </si>
  <si>
    <t>2025-06-17 16:39:02</t>
  </si>
  <si>
    <t>F74R29Z</t>
  </si>
  <si>
    <t>2025-06-23 20:25:03</t>
  </si>
  <si>
    <t>2025-06-16 23:05:02</t>
  </si>
  <si>
    <t>FGM6FHW</t>
  </si>
  <si>
    <t>2025-06-24 15:53:05</t>
  </si>
  <si>
    <t>2025-06-16 03:24:02</t>
  </si>
  <si>
    <t>F24QUXA</t>
  </si>
  <si>
    <t>2025-06-16 20:51:02</t>
  </si>
  <si>
    <t>2025-06-11 12:27:03</t>
  </si>
  <si>
    <t>6AAC2B7E7A012A</t>
  </si>
  <si>
    <t>FSGVSG8</t>
  </si>
  <si>
    <t>2025-06-16 20:37:03</t>
  </si>
  <si>
    <t>2025-06-10 16:56:02</t>
  </si>
  <si>
    <t>87B4EEE77288D8</t>
  </si>
  <si>
    <t>F6BMH2X</t>
  </si>
  <si>
    <t>2025-07-14 15:55:07</t>
  </si>
  <si>
    <t>2025-06-09 10:32:06</t>
  </si>
  <si>
    <t>DA6645D3DF502E</t>
  </si>
  <si>
    <t>FS6UPRA</t>
  </si>
  <si>
    <t>LuxusKollektion Gaming-Eckschreibtisch mit Schubladen, LED und Steckdosen, Weiß, 199 x 145,5 cm</t>
  </si>
  <si>
    <t>2025-06-11 20:21:04</t>
  </si>
  <si>
    <t>2025-06-07 22:01:03</t>
  </si>
  <si>
    <t>FBSKE5T</t>
  </si>
  <si>
    <t>2025-06-05 17:56:03</t>
  </si>
  <si>
    <t>AEDD2C71151BCE</t>
  </si>
  <si>
    <t>FYR8TG2</t>
  </si>
  <si>
    <t xml:space="preserve"> SPGOOD Grillabdeckung, wasserdicht, 420D Oxford-Stoff schwarz, 170 x 61 x 117 cm</t>
  </si>
  <si>
    <t>2025-06-11 20:29:04</t>
  </si>
  <si>
    <t>2025-06-03 07:34:50</t>
  </si>
  <si>
    <t>B5F33EC8090503</t>
  </si>
  <si>
    <t>FHGVV6G</t>
  </si>
  <si>
    <t>2025-06-05 20:16:03</t>
  </si>
  <si>
    <t>2025-06-02 14:12:50</t>
  </si>
  <si>
    <t>C95D7BC13E2959</t>
  </si>
  <si>
    <t>FYKHTRU</t>
  </si>
  <si>
    <t>2025-05-27 10:17:59</t>
  </si>
  <si>
    <t>FB2FBXQ</t>
  </si>
  <si>
    <t>2025-05-22 20:08:03</t>
  </si>
  <si>
    <t>2025-05-19 11:10:02</t>
  </si>
  <si>
    <t>C7A1469CF5F2F3</t>
  </si>
  <si>
    <t>F3CWMC8</t>
  </si>
  <si>
    <t>2025-05-26 20:37:06</t>
  </si>
  <si>
    <t>2025-05-19 11:09:41</t>
  </si>
  <si>
    <t>FCTX8S9</t>
  </si>
  <si>
    <t>2025-05-26 20:09:04</t>
  </si>
  <si>
    <t>2025-05-19 11:09:35</t>
  </si>
  <si>
    <t>D8550545241033</t>
  </si>
  <si>
    <t>FGBGREU</t>
  </si>
  <si>
    <t>LuxusKollektion Campingstuhl Klapphocker Ultraleicht Faltbar Dreibeinhocker 53.3cm Campinghocker</t>
  </si>
  <si>
    <t>2025-05-19 14:33:04</t>
  </si>
  <si>
    <t>2025-05-13 07:53:15</t>
  </si>
  <si>
    <t>FEF541D9B24413</t>
  </si>
  <si>
    <t>F0P7WW2</t>
  </si>
  <si>
    <t>2025-05-16 20:07:03</t>
  </si>
  <si>
    <t>2025-05-05 19:00:04</t>
  </si>
  <si>
    <t>68CD8A2F36C2CF</t>
  </si>
  <si>
    <t>FY0BM5Q</t>
  </si>
  <si>
    <t>Senston Tischtennisschläger Set inkl. 3 Bälle und Aufbewahrungstasche, blau</t>
  </si>
  <si>
    <t>2025-05-12 15:23:05</t>
  </si>
  <si>
    <t>2025-05-05 08:17:34</t>
  </si>
  <si>
    <t>C2CC5445CEDE6C</t>
  </si>
  <si>
    <t>FPHQE0W</t>
  </si>
  <si>
    <t>FC4ZEVB</t>
  </si>
  <si>
    <t>2025-05-05 14:28:03</t>
  </si>
  <si>
    <t>2025-04-28 07:34:50</t>
  </si>
  <si>
    <t>FAT8HVQ</t>
  </si>
  <si>
    <t>2025-05-07 19:31:03</t>
  </si>
  <si>
    <t>2025-04-28 07:35:16</t>
  </si>
  <si>
    <t>826880B2B50FF5</t>
  </si>
  <si>
    <t>F8AZHW6</t>
  </si>
  <si>
    <t>Tischtennisschläger Set mit 2 Schläger und 3 Bälle in Tasche</t>
  </si>
  <si>
    <t>2025-04-29 19:25:04</t>
  </si>
  <si>
    <t>2025-04-25 09:01:37</t>
  </si>
  <si>
    <t>A4F8D1B9EC2DDE</t>
  </si>
  <si>
    <t>F2XM3RH</t>
  </si>
  <si>
    <t>Tencoz Profi Tischtennisschläger Set inkl. 4 Schläger, 6 Bälle &amp; Aufbewahrungstasche, ABS-Kunststoff rot / schwarz, 15 x 26 x 1,5 cm</t>
  </si>
  <si>
    <t>2025-04-30 20:34:03</t>
  </si>
  <si>
    <t>2025-04-25 08:59:51</t>
  </si>
  <si>
    <t>42FF45DDBE8AF5</t>
  </si>
  <si>
    <t>FVRBKAP</t>
  </si>
  <si>
    <t>2025-04-29 20:01:06</t>
  </si>
  <si>
    <t>2025-04-22 19:57:22</t>
  </si>
  <si>
    <t>E7DAA19C1F25FD</t>
  </si>
  <si>
    <t>FHSGPA3</t>
  </si>
  <si>
    <t>2025-04-29 15:18:07</t>
  </si>
  <si>
    <t>2025-04-22 19:57:33</t>
  </si>
  <si>
    <t>5F2C3154863802</t>
  </si>
  <si>
    <t>FF3837H</t>
  </si>
  <si>
    <t>VniYors BBQ Grillabdeckung für Weber Grill, wetterfest, 210D-Oxford-Gewebe schwarz , 147 x 61 x 122 cm</t>
  </si>
  <si>
    <t>2025-04-29 20:11:03</t>
  </si>
  <si>
    <t>2025-04-22 19:06:58</t>
  </si>
  <si>
    <t>37E4BF9613EF68</t>
  </si>
  <si>
    <t>F73HGMF</t>
  </si>
  <si>
    <t>2025-04-26 16:38:02</t>
  </si>
  <si>
    <t>2025-04-21 14:17:58</t>
  </si>
  <si>
    <t>FW9T7A2</t>
  </si>
  <si>
    <t>2025-04-26 16:32:04</t>
  </si>
  <si>
    <t>2025-04-21 14:17:51</t>
  </si>
  <si>
    <t>F6FGVP3</t>
  </si>
  <si>
    <t>2025-04-22 20:09:14</t>
  </si>
  <si>
    <t>2025-04-14 19:20:10</t>
  </si>
  <si>
    <t>FBWM4YU</t>
  </si>
  <si>
    <t>2025-04-21 10:40:11</t>
  </si>
  <si>
    <t>2025-04-13 12:12:29</t>
  </si>
  <si>
    <t>B7045F579B4DAE</t>
  </si>
  <si>
    <t>F5Z3G6A</t>
  </si>
  <si>
    <t>2025-04-12 17:24:02</t>
  </si>
  <si>
    <t>2025-04-08 14:53:58</t>
  </si>
  <si>
    <t>7E987FC7C2CCF4</t>
  </si>
  <si>
    <t>FPPHBYU</t>
  </si>
  <si>
    <t>Vniyors BBQ Grillabdeckung, Polyester schwarz, 132x66x109 cm</t>
  </si>
  <si>
    <t>2025-04-11 08:56:15</t>
  </si>
  <si>
    <t>2025-04-07 08:58:15</t>
  </si>
  <si>
    <t>FEYMSEM</t>
  </si>
  <si>
    <t>2025-04-09 08:31:06</t>
  </si>
  <si>
    <t>2025-04-03 12:17:37</t>
  </si>
  <si>
    <t>07833D66F53E03</t>
  </si>
  <si>
    <t>F3ZKRQY</t>
  </si>
  <si>
    <t>2025-04-08 02:20:13</t>
  </si>
  <si>
    <t>2025-03-31 07:45:06</t>
  </si>
  <si>
    <t>F6ABA2C63E09DE</t>
  </si>
  <si>
    <t>F6QKPVR</t>
  </si>
  <si>
    <t>DRAGON RIOT Grillbesteck Set Edelstahl 29 Stück BBQ Zubehör</t>
  </si>
  <si>
    <t>2025-04-08 02:05:09</t>
  </si>
  <si>
    <t>2025-03-31 07:45:21</t>
  </si>
  <si>
    <t>5E69E1D5E33990</t>
  </si>
  <si>
    <t>FYE89AQ</t>
  </si>
  <si>
    <t>Fleischgabel, 6 in 1, Edelstahl Silber, 35 cm</t>
  </si>
  <si>
    <t>2025-04-04 22:19:07</t>
  </si>
  <si>
    <t>2025-03-27 16:50:36</t>
  </si>
  <si>
    <t>050A0569446899</t>
  </si>
  <si>
    <t>FBH6WC4</t>
  </si>
  <si>
    <t>2025-03-26 15:35:08</t>
  </si>
  <si>
    <t>380C501AA903AF</t>
  </si>
  <si>
    <t>F8Y00GW</t>
  </si>
  <si>
    <t>2025-04-01 20:43:02</t>
  </si>
  <si>
    <t>2025-03-25 18:21:52</t>
  </si>
  <si>
    <t>020467BF32BDB0</t>
  </si>
  <si>
    <t>FKQ779S</t>
  </si>
  <si>
    <t>2025-03-29 09:19:03</t>
  </si>
  <si>
    <t>2025-03-19 07:10:55</t>
  </si>
  <si>
    <t>79E26E1C96E73D</t>
  </si>
  <si>
    <t>FG2KQM5</t>
  </si>
  <si>
    <t>2025-03-28 20:20:04</t>
  </si>
  <si>
    <t>2025-03-17 19:56:14</t>
  </si>
  <si>
    <t>FBUXZ8Y</t>
  </si>
  <si>
    <t>2025-03-20 20:18:01</t>
  </si>
  <si>
    <t>2025-03-13 14:58:55</t>
  </si>
  <si>
    <t>FY45U60</t>
  </si>
  <si>
    <t>2025-03-12 15:08:01</t>
  </si>
  <si>
    <t>2025-03-10 07:13:35</t>
  </si>
  <si>
    <t>FYBC32Z</t>
  </si>
  <si>
    <t>2025-03-14 15:28:00</t>
  </si>
  <si>
    <t>2025-03-07 15:30:31</t>
  </si>
  <si>
    <t>FQS9WCB</t>
  </si>
  <si>
    <t>2025-03-05 20:48:04</t>
  </si>
  <si>
    <t>2025-03-03 13:11:06</t>
  </si>
  <si>
    <t>71803395E6A545</t>
  </si>
  <si>
    <t>FYP2U8S</t>
  </si>
  <si>
    <t>Tischtennisschläger Set inkl. Tischtennisnetz, 2 Schläger, 6 Bälle und Aufbewahrungstasche</t>
  </si>
  <si>
    <t>2025-02-27 15:04:01</t>
  </si>
  <si>
    <t>2025-02-24 07:13:09</t>
  </si>
  <si>
    <t>72689FA9F2ACA5</t>
  </si>
  <si>
    <t>F7XG8Z0</t>
  </si>
  <si>
    <t>2025-02-24 20:38:03</t>
  </si>
  <si>
    <t>2025-02-20 07:38:45</t>
  </si>
  <si>
    <t>1626D41ED16E0E</t>
  </si>
  <si>
    <t>FGXET3A</t>
  </si>
  <si>
    <t>LuxusKollektion 'EHEYCIGA' orthopädisches Hundebett für große Hunde, mit Memory Foam, waschbar, Flanell dunkelgrau, 68 x 91 x 15 cm</t>
  </si>
  <si>
    <t>2025-02-13 20:27:12</t>
  </si>
  <si>
    <t>2025-02-11 07:39:14</t>
  </si>
  <si>
    <t>17EFF0F9F7870A</t>
  </si>
  <si>
    <t>FWZ4PYG</t>
  </si>
  <si>
    <t>2025-02-10 07:46:15</t>
  </si>
  <si>
    <t>2078B5E0C35ABF</t>
  </si>
  <si>
    <t>F88UFMV</t>
  </si>
  <si>
    <t>YITAHOME Katzenkäfig 2-stöckig DIY Metalldraht, Schwarz, 71 x 71 x 71 cm</t>
  </si>
  <si>
    <t>2025-02-11 20:29:11</t>
  </si>
  <si>
    <t>2025-02-06 07:56:03</t>
  </si>
  <si>
    <t>D9FEABE600B1AE</t>
  </si>
  <si>
    <t>F7ARKX9</t>
  </si>
  <si>
    <t>LuxusKollektion Küchenorganizer-Set Moderne Schwarz 3er Set Wandregal 40cm - Stilvolle Robuste</t>
  </si>
  <si>
    <t>2025-02-06 05:06:11</t>
  </si>
  <si>
    <t>2025-01-31 07:23:10</t>
  </si>
  <si>
    <t>FGTHUAV</t>
  </si>
  <si>
    <t>2025-01-27 23:49:12</t>
  </si>
  <si>
    <t>2025-01-24 08:24:57</t>
  </si>
  <si>
    <t>FKFVZVK</t>
  </si>
  <si>
    <t>2025-01-23 21:17:09</t>
  </si>
  <si>
    <t>2025-01-20 07:47:51</t>
  </si>
  <si>
    <t>FY0Q4TV</t>
  </si>
  <si>
    <t>2025-01-17 20:25:11</t>
  </si>
  <si>
    <t>2025-01-13 08:40:53</t>
  </si>
  <si>
    <t>FBK8UFM</t>
  </si>
  <si>
    <t>2025-01-14 17:52:35</t>
  </si>
  <si>
    <t>2025-01-06 08:23:55</t>
  </si>
  <si>
    <t>FBE2BPU</t>
  </si>
  <si>
    <t>2024-12-27 18:21:09</t>
  </si>
  <si>
    <t>2024-12-20 16:20:50</t>
  </si>
  <si>
    <t>FM5E9XS</t>
  </si>
  <si>
    <t>2024-12-19 13:11:20</t>
  </si>
  <si>
    <t>2024-12-16 07:50:30</t>
  </si>
  <si>
    <t>B18B453079B345</t>
  </si>
  <si>
    <t>FR6ZQ3S</t>
  </si>
  <si>
    <t>2024-12-19 19:47:11</t>
  </si>
  <si>
    <t>2024-12-12 08:25:59</t>
  </si>
  <si>
    <t>B0ACF5DB7F2DDE</t>
  </si>
  <si>
    <t>FM9C9CW</t>
  </si>
  <si>
    <t>2024-12-17 15:46:50</t>
  </si>
  <si>
    <t>2024-12-09 17:48:19</t>
  </si>
  <si>
    <t>FWS30P6</t>
  </si>
  <si>
    <t>2024-12-13 20:23:13</t>
  </si>
  <si>
    <t>2024-12-06 07:00:20</t>
  </si>
  <si>
    <t>1A674C1D392C5F</t>
  </si>
  <si>
    <t>F4M230E</t>
  </si>
  <si>
    <t>2024-12-13 20:21:15</t>
  </si>
  <si>
    <t>2024-12-03 12:14:09</t>
  </si>
  <si>
    <t>DC735CBE2BD7AE</t>
  </si>
  <si>
    <t>F5FT96Q</t>
  </si>
  <si>
    <t>2024-12-04 20:39:12</t>
  </si>
  <si>
    <t>2024-11-29 08:30:32</t>
  </si>
  <si>
    <t>FH4AT7E</t>
  </si>
  <si>
    <t>2024-11-25 20:26:10</t>
  </si>
  <si>
    <t>2024-11-18 16:27:29</t>
  </si>
  <si>
    <t>FUKRVT6</t>
  </si>
  <si>
    <t>2024-11-20 17:28:15</t>
  </si>
  <si>
    <t>2024-11-13 19:42:12</t>
  </si>
  <si>
    <t>2355892F1A846E</t>
  </si>
  <si>
    <t>FQKH8GH</t>
  </si>
  <si>
    <t>19A6EE8A136C90</t>
  </si>
  <si>
    <t>FF9KXHX</t>
  </si>
  <si>
    <t>Orders Repriced</t>
  </si>
  <si>
    <t>Total orders</t>
  </si>
  <si>
    <t>C24 Repricer</t>
  </si>
  <si>
    <t>Seller Repricer</t>
  </si>
  <si>
    <t>Prozent</t>
  </si>
  <si>
    <t>Gesamt</t>
  </si>
  <si>
    <t>Luxuskollektion  |  Retouren &amp; Lieferverzüge</t>
  </si>
  <si>
    <t>RETOURENGRÜNDE 2025 (all-time)</t>
  </si>
  <si>
    <t>Stornopositionen</t>
  </si>
  <si>
    <t>Retourenpositionen</t>
  </si>
  <si>
    <t>cheaper_price</t>
  </si>
  <si>
    <t>quality_insufficient</t>
  </si>
  <si>
    <t>wrong_product</t>
  </si>
  <si>
    <t>parts_missing</t>
  </si>
  <si>
    <t>product_damaged</t>
  </si>
  <si>
    <t>incompatible</t>
  </si>
  <si>
    <t>ordered_by_mistake</t>
  </si>
  <si>
    <t>no_longer_like</t>
  </si>
  <si>
    <t>no_reason</t>
  </si>
  <si>
    <t>reason_not_available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</si>
</sst>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#,##0.00&quot; €&quot;"/>
    <numFmt numFmtId="165" formatCode="\+0.0%;\-0.0%;\-"/>
    <numFmt numFmtId="166" formatCode="0.0%"/>
  </numFmts>
  <fonts count="19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375623"/>
      <name val="Arial"/>
      <family val="2"/>
    </font>
    <font>
      <sz val="10"/>
      <color rgb="FFC00000"/>
      <name val="Arial"/>
      <family val="2"/>
    </font>
    <font>
      <b/>
      <sz val="16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Cambria"/>
      <family val="1"/>
    </font>
    <font>
      <b/>
      <sz val="10"/>
      <color rgb="FFFFFFFF"/>
      <name val="Cambria"/>
      <family val="1"/>
    </font>
    <font>
      <b/>
      <sz val="10"/>
      <name val="Cambria"/>
      <family val="1"/>
    </font>
    <font>
      <sz val="10"/>
      <name val="Cambria"/>
      <family val="1"/>
    </font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0"/>
      <color rgb="FF1F2937"/>
      <name val="Helvetica"/>
      <family val="2"/>
    </font>
    <font>
      <sz val="10"/>
      <color rgb="FF21232C"/>
      <name val="Arial"/>
      <family val="2"/>
    </font>
    <font>
      <sz val="11"/>
      <color rgb="FFFFFFFF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F5496"/>
        <bgColor rgb="FF2E4D8A"/>
      </patternFill>
    </fill>
    <fill>
      <patternFill patternType="solid">
        <fgColor rgb="FFF2F2F2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4472C4"/>
        <bgColor rgb="FF2F5496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F2F2F2"/>
      </patternFill>
    </fill>
    <fill>
      <patternFill patternType="solid">
        <fgColor rgb="FF595959"/>
        <bgColor rgb="FF375623"/>
      </patternFill>
    </fill>
    <fill>
      <patternFill patternType="solid">
        <fgColor rgb="FFFCE4D6"/>
        <bgColor rgb="FFFFF2CC"/>
      </patternFill>
    </fill>
    <fill>
      <patternFill patternType="solid">
        <fgColor rgb="FF375623"/>
        <bgColor rgb="FF595959"/>
      </patternFill>
    </fill>
    <fill>
      <patternFill patternType="solid">
        <fgColor rgb="FFC00000"/>
        <bgColor rgb="FF800000"/>
      </patternFill>
    </fill>
    <fill>
      <patternFill patternType="solid">
        <fgColor rgb="FFD6E4BC"/>
        <bgColor rgb="FFD9D9D9"/>
      </patternFill>
    </fill>
    <fill>
      <patternFill patternType="solid">
        <fgColor rgb="FFF8D0C4"/>
        <bgColor rgb="FFFCE4D6"/>
      </patternFill>
    </fill>
    <fill>
      <patternFill patternType="solid">
        <fgColor rgb="FFD6E8F5"/>
        <bgColor rgb="FFE2EFDA"/>
      </patternFill>
    </fill>
    <fill>
      <patternFill patternType="solid">
        <fgColor rgb="FF2E4D8A"/>
        <bgColor rgb="FF2F5496"/>
      </patternFill>
    </fill>
    <fill>
      <patternFill patternType="solid">
        <fgColor rgb="FFFFF2CC"/>
        <bgColor rgb="FFFCE4D6"/>
      </patternFill>
    </fill>
    <fill>
      <patternFill patternType="solid">
        <fgColor theme="9" tint="0.59999389629810485"/>
        <bgColor rgb="FFD9D9D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3">
    <xf numFmtId="0" fontId="0" fillId="0" borderId="0"/>
    <xf numFmtId="44" fontId="14" fillId="0" borderId="0" applyFont="0" applyFill="0" applyBorder="0" applyAlignment="0" applyProtection="0"/>
    <xf numFmtId="9" fontId="14" fillId="0" borderId="0" applyFont="0" applyFill="0" applyBorder="0" applyAlignment="0" applyProtection="0"/>
  </cellStyleXfs>
  <cellXfs count="185">
    <xf numFmtId="0" fontId="0" fillId="0" borderId="0" xfId="0"/>
    <xf numFmtId="0" fontId="2" fillId="3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3" fontId="4" fillId="4" borderId="2" xfId="0" applyNumberFormat="1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3" fontId="4" fillId="15" borderId="2" xfId="0" applyNumberFormat="1" applyFont="1" applyFill="1" applyBorder="1" applyAlignment="1">
      <alignment horizontal="center" vertical="center"/>
    </xf>
    <xf numFmtId="164" fontId="4" fillId="15" borderId="2" xfId="0" applyNumberFormat="1" applyFont="1" applyFill="1" applyBorder="1" applyAlignment="1">
      <alignment horizontal="right" vertical="center"/>
    </xf>
    <xf numFmtId="164" fontId="9" fillId="15" borderId="2" xfId="0" applyNumberFormat="1" applyFont="1" applyFill="1" applyBorder="1" applyAlignment="1">
      <alignment horizontal="right" vertical="center"/>
    </xf>
    <xf numFmtId="3" fontId="4" fillId="7" borderId="2" xfId="0" applyNumberFormat="1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right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 wrapText="1"/>
    </xf>
    <xf numFmtId="3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0" fillId="2" borderId="2" xfId="0" applyFill="1" applyBorder="1"/>
    <xf numFmtId="0" fontId="11" fillId="2" borderId="0" xfId="0" applyFont="1" applyFill="1" applyAlignment="1">
      <alignment horizontal="center" vertical="center" wrapText="1"/>
    </xf>
    <xf numFmtId="1" fontId="12" fillId="4" borderId="0" xfId="0" applyNumberFormat="1" applyFont="1" applyFill="1" applyAlignment="1">
      <alignment horizontal="center" vertical="center"/>
    </xf>
    <xf numFmtId="0" fontId="13" fillId="4" borderId="0" xfId="0" applyFont="1" applyFill="1" applyAlignment="1">
      <alignment horizontal="left" vertical="center"/>
    </xf>
    <xf numFmtId="3" fontId="13" fillId="4" borderId="0" xfId="0" applyNumberFormat="1" applyFont="1" applyFill="1" applyAlignment="1">
      <alignment horizontal="center" vertical="center"/>
    </xf>
    <xf numFmtId="164" fontId="13" fillId="4" borderId="0" xfId="0" applyNumberFormat="1" applyFont="1" applyFill="1" applyAlignment="1">
      <alignment horizontal="center" vertical="center"/>
    </xf>
    <xf numFmtId="166" fontId="13" fillId="4" borderId="0" xfId="0" applyNumberFormat="1" applyFont="1" applyFill="1" applyAlignment="1">
      <alignment horizontal="center" vertical="center"/>
    </xf>
    <xf numFmtId="1" fontId="12" fillId="5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164" fontId="13" fillId="5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6" fontId="11" fillId="2" borderId="0" xfId="0" applyNumberFormat="1" applyFont="1" applyFill="1" applyAlignment="1">
      <alignment horizontal="center" vertical="center"/>
    </xf>
    <xf numFmtId="166" fontId="4" fillId="5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0" fillId="9" borderId="2" xfId="0" applyFill="1" applyBorder="1"/>
    <xf numFmtId="0" fontId="0" fillId="4" borderId="2" xfId="0" applyFill="1" applyBorder="1"/>
    <xf numFmtId="0" fontId="0" fillId="5" borderId="2" xfId="0" applyFill="1" applyBorder="1"/>
    <xf numFmtId="0" fontId="3" fillId="8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0" fontId="3" fillId="10" borderId="2" xfId="0" applyFont="1" applyFill="1" applyBorder="1" applyAlignment="1">
      <alignment horizontal="left" vertical="center"/>
    </xf>
    <xf numFmtId="3" fontId="4" fillId="10" borderId="2" xfId="0" applyNumberFormat="1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left" vertical="center"/>
    </xf>
    <xf numFmtId="0" fontId="3" fillId="17" borderId="2" xfId="0" applyFont="1" applyFill="1" applyBorder="1" applyAlignment="1">
      <alignment horizontal="left" vertical="center"/>
    </xf>
    <xf numFmtId="3" fontId="4" fillId="17" borderId="2" xfId="0" applyNumberFormat="1" applyFont="1" applyFill="1" applyBorder="1" applyAlignment="1">
      <alignment horizontal="center" vertical="center"/>
    </xf>
    <xf numFmtId="0" fontId="4" fillId="17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 wrapText="1"/>
    </xf>
    <xf numFmtId="0" fontId="2" fillId="12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0" fillId="16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0" fillId="9" borderId="1" xfId="0" applyFill="1" applyBorder="1"/>
    <xf numFmtId="44" fontId="4" fillId="7" borderId="2" xfId="1" applyFont="1" applyFill="1" applyBorder="1" applyAlignment="1">
      <alignment horizontal="center" vertical="center"/>
    </xf>
    <xf numFmtId="166" fontId="4" fillId="7" borderId="2" xfId="2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6" fontId="4" fillId="18" borderId="2" xfId="2" applyNumberFormat="1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horizontal="center" vertical="center"/>
    </xf>
    <xf numFmtId="44" fontId="4" fillId="4" borderId="2" xfId="1" applyFont="1" applyFill="1" applyBorder="1" applyAlignment="1">
      <alignment horizontal="right" vertical="center"/>
    </xf>
    <xf numFmtId="44" fontId="9" fillId="4" borderId="2" xfId="1" applyFont="1" applyFill="1" applyBorder="1" applyAlignment="1">
      <alignment horizontal="right" vertical="center"/>
    </xf>
    <xf numFmtId="44" fontId="4" fillId="5" borderId="2" xfId="1" applyFont="1" applyFill="1" applyBorder="1" applyAlignment="1">
      <alignment horizontal="right" vertical="center"/>
    </xf>
    <xf numFmtId="44" fontId="9" fillId="5" borderId="2" xfId="1" applyFont="1" applyFill="1" applyBorder="1" applyAlignment="1">
      <alignment horizontal="right" vertical="center"/>
    </xf>
    <xf numFmtId="44" fontId="4" fillId="15" borderId="2" xfId="1" applyFont="1" applyFill="1" applyBorder="1" applyAlignment="1">
      <alignment horizontal="right" vertical="center"/>
    </xf>
    <xf numFmtId="44" fontId="9" fillId="15" borderId="2" xfId="1" applyFont="1" applyFill="1" applyBorder="1" applyAlignment="1">
      <alignment horizontal="right" vertical="center"/>
    </xf>
    <xf numFmtId="44" fontId="4" fillId="7" borderId="2" xfId="1" applyFont="1" applyFill="1" applyBorder="1" applyAlignment="1">
      <alignment horizontal="right" vertical="center"/>
    </xf>
    <xf numFmtId="44" fontId="9" fillId="7" borderId="2" xfId="1" applyFont="1" applyFill="1" applyBorder="1" applyAlignment="1">
      <alignment horizontal="right" vertical="center"/>
    </xf>
    <xf numFmtId="14" fontId="3" fillId="4" borderId="4" xfId="0" applyNumberFormat="1" applyFont="1" applyFill="1" applyBorder="1" applyAlignment="1">
      <alignment horizontal="left" vertical="center"/>
    </xf>
    <xf numFmtId="14" fontId="3" fillId="5" borderId="4" xfId="0" applyNumberFormat="1" applyFont="1" applyFill="1" applyBorder="1" applyAlignment="1">
      <alignment horizontal="left" vertical="center"/>
    </xf>
    <xf numFmtId="14" fontId="3" fillId="15" borderId="4" xfId="0" applyNumberFormat="1" applyFont="1" applyFill="1" applyBorder="1" applyAlignment="1">
      <alignment horizontal="left" vertical="center"/>
    </xf>
    <xf numFmtId="14" fontId="3" fillId="7" borderId="4" xfId="0" applyNumberFormat="1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left" vertical="center"/>
    </xf>
    <xf numFmtId="0" fontId="3" fillId="7" borderId="4" xfId="0" applyFont="1" applyFill="1" applyBorder="1" applyAlignment="1">
      <alignment horizontal="left" vertical="center"/>
    </xf>
    <xf numFmtId="44" fontId="9" fillId="4" borderId="1" xfId="1" applyFont="1" applyFill="1" applyBorder="1" applyAlignment="1">
      <alignment horizontal="right" vertical="center"/>
    </xf>
    <xf numFmtId="44" fontId="9" fillId="5" borderId="1" xfId="1" applyFont="1" applyFill="1" applyBorder="1" applyAlignment="1">
      <alignment horizontal="right" vertical="center"/>
    </xf>
    <xf numFmtId="44" fontId="9" fillId="15" borderId="1" xfId="1" applyFont="1" applyFill="1" applyBorder="1" applyAlignment="1">
      <alignment horizontal="right" vertical="center"/>
    </xf>
    <xf numFmtId="44" fontId="9" fillId="7" borderId="1" xfId="1" applyFont="1" applyFill="1" applyBorder="1" applyAlignment="1">
      <alignment horizontal="right" vertical="center"/>
    </xf>
    <xf numFmtId="165" fontId="9" fillId="15" borderId="1" xfId="0" applyNumberFormat="1" applyFont="1" applyFill="1" applyBorder="1" applyAlignment="1">
      <alignment horizontal="center" vertical="center"/>
    </xf>
    <xf numFmtId="165" fontId="9" fillId="7" borderId="1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3" fontId="4" fillId="7" borderId="13" xfId="0" applyNumberFormat="1" applyFont="1" applyFill="1" applyBorder="1" applyAlignment="1">
      <alignment horizontal="center" vertical="center"/>
    </xf>
    <xf numFmtId="164" fontId="4" fillId="7" borderId="13" xfId="0" applyNumberFormat="1" applyFont="1" applyFill="1" applyBorder="1" applyAlignment="1">
      <alignment horizontal="right" vertical="center"/>
    </xf>
    <xf numFmtId="164" fontId="9" fillId="7" borderId="13" xfId="0" applyNumberFormat="1" applyFont="1" applyFill="1" applyBorder="1" applyAlignment="1">
      <alignment horizontal="right" vertical="center"/>
    </xf>
    <xf numFmtId="165" fontId="9" fillId="7" borderId="14" xfId="0" applyNumberFormat="1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left" vertical="center"/>
    </xf>
    <xf numFmtId="0" fontId="2" fillId="3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20" borderId="16" xfId="0" applyFont="1" applyFill="1" applyBorder="1" applyAlignment="1">
      <alignment horizontal="left" vertical="center"/>
    </xf>
    <xf numFmtId="0" fontId="3" fillId="0" borderId="16" xfId="0" applyFont="1" applyFill="1" applyBorder="1" applyAlignment="1">
      <alignment horizontal="left" vertical="center"/>
    </xf>
    <xf numFmtId="0" fontId="3" fillId="21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20" borderId="17" xfId="0" applyFont="1" applyFill="1" applyBorder="1" applyAlignment="1">
      <alignment horizontal="left" vertical="center"/>
    </xf>
    <xf numFmtId="0" fontId="3" fillId="0" borderId="17" xfId="0" applyFont="1" applyFill="1" applyBorder="1" applyAlignment="1">
      <alignment horizontal="left" vertical="center"/>
    </xf>
    <xf numFmtId="0" fontId="3" fillId="21" borderId="17" xfId="0" applyFont="1" applyFill="1" applyBorder="1" applyAlignment="1">
      <alignment horizontal="left" vertical="center"/>
    </xf>
    <xf numFmtId="0" fontId="4" fillId="4" borderId="18" xfId="0" applyFont="1" applyFill="1" applyBorder="1" applyAlignment="1">
      <alignment horizontal="left" vertical="center"/>
    </xf>
    <xf numFmtId="0" fontId="4" fillId="4" borderId="19" xfId="0" applyFont="1" applyFill="1" applyBorder="1" applyAlignment="1">
      <alignment horizontal="left" vertical="center"/>
    </xf>
    <xf numFmtId="0" fontId="4" fillId="4" borderId="20" xfId="0" applyFont="1" applyFill="1" applyBorder="1" applyAlignment="1">
      <alignment horizontal="left" vertical="center"/>
    </xf>
    <xf numFmtId="0" fontId="4" fillId="20" borderId="18" xfId="0" applyFont="1" applyFill="1" applyBorder="1" applyAlignment="1">
      <alignment horizontal="left" vertical="center"/>
    </xf>
    <xf numFmtId="0" fontId="4" fillId="20" borderId="19" xfId="0" applyFont="1" applyFill="1" applyBorder="1" applyAlignment="1">
      <alignment horizontal="left" vertical="center"/>
    </xf>
    <xf numFmtId="0" fontId="4" fillId="20" borderId="20" xfId="0" applyFont="1" applyFill="1" applyBorder="1" applyAlignment="1">
      <alignment horizontal="left" vertical="center"/>
    </xf>
    <xf numFmtId="0" fontId="15" fillId="0" borderId="18" xfId="0" applyFont="1" applyFill="1" applyBorder="1" applyAlignment="1">
      <alignment horizontal="left"/>
    </xf>
    <xf numFmtId="0" fontId="15" fillId="0" borderId="19" xfId="0" applyFont="1" applyFill="1" applyBorder="1" applyAlignment="1">
      <alignment horizontal="left"/>
    </xf>
    <xf numFmtId="0" fontId="15" fillId="0" borderId="20" xfId="0" applyFont="1" applyFill="1" applyBorder="1" applyAlignment="1">
      <alignment horizontal="left"/>
    </xf>
    <xf numFmtId="0" fontId="16" fillId="21" borderId="18" xfId="0" applyFont="1" applyFill="1" applyBorder="1" applyAlignment="1">
      <alignment horizontal="left"/>
    </xf>
    <xf numFmtId="0" fontId="16" fillId="21" borderId="19" xfId="0" applyFont="1" applyFill="1" applyBorder="1" applyAlignment="1">
      <alignment horizontal="left"/>
    </xf>
    <xf numFmtId="0" fontId="16" fillId="21" borderId="20" xfId="0" applyFont="1" applyFill="1" applyBorder="1" applyAlignment="1">
      <alignment horizontal="left"/>
    </xf>
    <xf numFmtId="0" fontId="17" fillId="0" borderId="18" xfId="0" applyFont="1" applyFill="1" applyBorder="1" applyAlignment="1">
      <alignment horizontal="left"/>
    </xf>
    <xf numFmtId="0" fontId="17" fillId="0" borderId="19" xfId="0" applyFont="1" applyFill="1" applyBorder="1" applyAlignment="1">
      <alignment horizontal="left"/>
    </xf>
    <xf numFmtId="0" fontId="17" fillId="0" borderId="20" xfId="0" applyFont="1" applyFill="1" applyBorder="1" applyAlignment="1">
      <alignment horizontal="left"/>
    </xf>
    <xf numFmtId="14" fontId="4" fillId="5" borderId="18" xfId="0" applyNumberFormat="1" applyFont="1" applyFill="1" applyBorder="1" applyAlignment="1">
      <alignment horizontal="left" vertical="center"/>
    </xf>
    <xf numFmtId="14" fontId="4" fillId="5" borderId="19" xfId="0" applyNumberFormat="1" applyFont="1" applyFill="1" applyBorder="1" applyAlignment="1">
      <alignment horizontal="left" vertical="center"/>
    </xf>
    <xf numFmtId="14" fontId="4" fillId="5" borderId="17" xfId="0" applyNumberFormat="1" applyFont="1" applyFill="1" applyBorder="1" applyAlignment="1">
      <alignment horizontal="left" vertical="center"/>
    </xf>
    <xf numFmtId="0" fontId="4" fillId="20" borderId="17" xfId="0" applyFont="1" applyFill="1" applyBorder="1" applyAlignment="1">
      <alignment horizontal="left" vertical="center"/>
    </xf>
    <xf numFmtId="0" fontId="15" fillId="21" borderId="18" xfId="0" applyFont="1" applyFill="1" applyBorder="1" applyAlignment="1">
      <alignment horizontal="left" vertical="center"/>
    </xf>
    <xf numFmtId="0" fontId="15" fillId="21" borderId="19" xfId="0" applyFont="1" applyFill="1" applyBorder="1" applyAlignment="1">
      <alignment horizontal="left" vertical="center"/>
    </xf>
    <xf numFmtId="0" fontId="15" fillId="21" borderId="17" xfId="0" applyFont="1" applyFill="1" applyBorder="1" applyAlignment="1">
      <alignment horizontal="left" vertical="center"/>
    </xf>
    <xf numFmtId="0" fontId="4" fillId="0" borderId="18" xfId="0" applyFont="1" applyFill="1" applyBorder="1" applyAlignment="1">
      <alignment horizontal="left" vertical="center"/>
    </xf>
    <xf numFmtId="0" fontId="4" fillId="0" borderId="19" xfId="0" applyFont="1" applyFill="1" applyBorder="1" applyAlignment="1">
      <alignment horizontal="left" vertical="center"/>
    </xf>
    <xf numFmtId="0" fontId="4" fillId="0" borderId="17" xfId="0" applyFont="1" applyFill="1" applyBorder="1" applyAlignment="1">
      <alignment horizontal="left" vertical="center"/>
    </xf>
    <xf numFmtId="9" fontId="4" fillId="0" borderId="18" xfId="0" applyNumberFormat="1" applyFont="1" applyFill="1" applyBorder="1" applyAlignment="1">
      <alignment horizontal="left" vertical="center"/>
    </xf>
    <xf numFmtId="9" fontId="4" fillId="0" borderId="19" xfId="0" applyNumberFormat="1" applyFont="1" applyFill="1" applyBorder="1" applyAlignment="1">
      <alignment horizontal="left" vertical="center"/>
    </xf>
    <xf numFmtId="9" fontId="4" fillId="0" borderId="17" xfId="0" applyNumberFormat="1" applyFont="1" applyFill="1" applyBorder="1" applyAlignment="1">
      <alignment horizontal="left" vertical="center"/>
    </xf>
    <xf numFmtId="0" fontId="10" fillId="16" borderId="0" xfId="0" applyFont="1" applyFill="1" applyAlignment="1">
      <alignment horizontal="center" vertical="center"/>
    </xf>
    <xf numFmtId="0" fontId="0" fillId="0" borderId="0" xfId="0" applyNumberFormat="1"/>
    <xf numFmtId="44" fontId="13" fillId="4" borderId="0" xfId="1" applyFont="1" applyFill="1" applyAlignment="1">
      <alignment horizontal="center" vertical="center"/>
    </xf>
    <xf numFmtId="44" fontId="13" fillId="5" borderId="0" xfId="1" applyFont="1" applyFill="1" applyAlignment="1">
      <alignment horizontal="center" vertical="center"/>
    </xf>
    <xf numFmtId="1" fontId="13" fillId="4" borderId="0" xfId="0" applyNumberFormat="1" applyFont="1" applyFill="1" applyAlignment="1">
      <alignment horizontal="center" vertical="center"/>
    </xf>
    <xf numFmtId="1" fontId="13" fillId="5" borderId="0" xfId="0" applyNumberFormat="1" applyFont="1" applyFill="1" applyAlignment="1">
      <alignment horizontal="center" vertical="center"/>
    </xf>
    <xf numFmtId="0" fontId="0" fillId="19" borderId="7" xfId="0" applyFill="1" applyBorder="1"/>
    <xf numFmtId="0" fontId="0" fillId="0" borderId="7" xfId="0" applyBorder="1"/>
    <xf numFmtId="10" fontId="4" fillId="4" borderId="2" xfId="2" applyNumberFormat="1" applyFont="1" applyFill="1" applyBorder="1" applyAlignment="1">
      <alignment horizontal="center" vertical="center"/>
    </xf>
    <xf numFmtId="10" fontId="4" fillId="5" borderId="2" xfId="2" applyNumberFormat="1" applyFont="1" applyFill="1" applyBorder="1" applyAlignment="1">
      <alignment horizontal="center" vertical="center"/>
    </xf>
    <xf numFmtId="10" fontId="4" fillId="4" borderId="2" xfId="0" applyNumberFormat="1" applyFont="1" applyFill="1" applyBorder="1" applyAlignment="1">
      <alignment horizontal="center" vertical="center"/>
    </xf>
    <xf numFmtId="10" fontId="4" fillId="5" borderId="2" xfId="0" applyNumberFormat="1" applyFont="1" applyFill="1" applyBorder="1" applyAlignment="1">
      <alignment horizontal="center" vertical="center"/>
    </xf>
    <xf numFmtId="14" fontId="0" fillId="19" borderId="6" xfId="0" applyNumberFormat="1" applyFill="1" applyBorder="1"/>
    <xf numFmtId="14" fontId="0" fillId="19" borderId="21" xfId="0" applyNumberFormat="1" applyFill="1" applyBorder="1"/>
    <xf numFmtId="0" fontId="0" fillId="19" borderId="22" xfId="0" applyFill="1" applyBorder="1"/>
    <xf numFmtId="10" fontId="0" fillId="0" borderId="0" xfId="2" applyNumberFormat="1" applyFont="1"/>
    <xf numFmtId="10" fontId="5" fillId="2" borderId="10" xfId="0" applyNumberFormat="1" applyFont="1" applyFill="1" applyBorder="1" applyAlignment="1">
      <alignment horizontal="center" vertical="center" wrapText="1"/>
    </xf>
    <xf numFmtId="10" fontId="0" fillId="0" borderId="7" xfId="2" applyNumberFormat="1" applyFont="1" applyBorder="1"/>
    <xf numFmtId="10" fontId="0" fillId="19" borderId="7" xfId="2" applyNumberFormat="1" applyFont="1" applyFill="1" applyBorder="1"/>
    <xf numFmtId="10" fontId="0" fillId="19" borderId="22" xfId="2" applyNumberFormat="1" applyFont="1" applyFill="1" applyBorder="1"/>
    <xf numFmtId="10" fontId="0" fillId="0" borderId="8" xfId="2" applyNumberFormat="1" applyFont="1" applyBorder="1"/>
    <xf numFmtId="10" fontId="0" fillId="19" borderId="8" xfId="2" applyNumberFormat="1" applyFont="1" applyFill="1" applyBorder="1"/>
    <xf numFmtId="10" fontId="0" fillId="19" borderId="23" xfId="2" applyNumberFormat="1" applyFont="1" applyFill="1" applyBorder="1"/>
    <xf numFmtId="0" fontId="18" fillId="3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6" fillId="8" borderId="4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0" fontId="7" fillId="10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6" fillId="13" borderId="4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left" vertical="center" wrapText="1"/>
    </xf>
    <xf numFmtId="0" fontId="7" fillId="14" borderId="3" xfId="0" applyFont="1" applyFill="1" applyBorder="1" applyAlignment="1">
      <alignment horizontal="left" vertical="center" wrapText="1"/>
    </xf>
    <xf numFmtId="22" fontId="0" fillId="0" borderId="0" xfId="0" applyNumberFormat="1"/>
    <xf numFmtId="0" fontId="11" fillId="2" borderId="24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 wrapText="1"/>
    </xf>
    <xf numFmtId="1" fontId="12" fillId="4" borderId="24" xfId="0" applyNumberFormat="1" applyFont="1" applyFill="1" applyBorder="1" applyAlignment="1">
      <alignment horizontal="left" vertical="center"/>
    </xf>
    <xf numFmtId="0" fontId="13" fillId="4" borderId="25" xfId="0" applyFont="1" applyFill="1" applyBorder="1" applyAlignment="1">
      <alignment horizontal="left" vertical="center"/>
    </xf>
    <xf numFmtId="3" fontId="13" fillId="4" borderId="25" xfId="0" applyNumberFormat="1" applyFont="1" applyFill="1" applyBorder="1" applyAlignment="1">
      <alignment horizontal="left" vertical="center"/>
    </xf>
    <xf numFmtId="44" fontId="13" fillId="4" borderId="26" xfId="1" applyNumberFormat="1" applyFont="1" applyFill="1" applyBorder="1" applyAlignment="1">
      <alignment horizontal="left" vertical="center"/>
    </xf>
    <xf numFmtId="1" fontId="12" fillId="5" borderId="24" xfId="0" applyNumberFormat="1" applyFont="1" applyFill="1" applyBorder="1" applyAlignment="1">
      <alignment horizontal="left" vertical="center"/>
    </xf>
    <xf numFmtId="0" fontId="13" fillId="5" borderId="25" xfId="0" applyFont="1" applyFill="1" applyBorder="1" applyAlignment="1">
      <alignment horizontal="left" vertical="center"/>
    </xf>
    <xf numFmtId="44" fontId="13" fillId="5" borderId="26" xfId="1" applyNumberFormat="1" applyFont="1" applyFill="1" applyBorder="1" applyAlignment="1">
      <alignment horizontal="left" vertical="center"/>
    </xf>
    <xf numFmtId="10" fontId="13" fillId="5" borderId="25" xfId="2" applyNumberFormat="1" applyFont="1" applyFill="1" applyBorder="1" applyAlignment="1">
      <alignment horizontal="left" vertical="center"/>
    </xf>
    <xf numFmtId="10" fontId="13" fillId="4" borderId="25" xfId="2" applyNumberFormat="1" applyFont="1" applyFill="1" applyBorder="1" applyAlignment="1">
      <alignment horizontal="left" vertical="center"/>
    </xf>
    <xf numFmtId="0" fontId="11" fillId="2" borderId="0" xfId="0" applyFont="1" applyFill="1" applyAlignment="1">
      <alignment vertical="center"/>
    </xf>
    <xf numFmtId="10" fontId="11" fillId="2" borderId="0" xfId="0" applyNumberFormat="1" applyFont="1" applyFill="1" applyAlignment="1">
      <alignment horizontal="center" vertical="center"/>
    </xf>
    <xf numFmtId="0" fontId="10" fillId="16" borderId="27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</cellXfs>
  <cellStyles count="3">
    <cellStyle name="Prozent" xfId="2" builtinId="5"/>
    <cellStyle name="Standard" xfId="0" builtinId="0"/>
    <cellStyle name="Währung" xfId="1" builtinId="4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27" formatCode="dd/mm/yy\ hh:mm"/>
    </dxf>
    <dxf>
      <numFmt numFmtId="27" formatCode="dd/mm/yy\ hh:mm"/>
    </dxf>
    <dxf>
      <numFmt numFmtId="0" formatCode="General"/>
    </dxf>
    <dxf>
      <numFmt numFmtId="0" formatCode="General"/>
    </dxf>
    <dxf>
      <numFmt numFmtId="27" formatCode="dd/mm/yy\ hh:mm"/>
    </dxf>
    <dxf>
      <numFmt numFmtId="14" formatCode="0.00%"/>
      <border diagonalUp="0" diagonalDown="0" outline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numFmt numFmtId="14" formatCode="0.00%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numFmt numFmtId="14" formatCode="0.00%"/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border diagonalUp="0" diagonalDown="0" outline="0">
        <left/>
        <right/>
        <top style="thin">
          <color theme="9" tint="0.39997558519241921"/>
        </top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2E4D8A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numFmt numFmtId="19" formatCode="dd/mm/yy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rgb="FFBFBFBF"/>
        </bottom>
      </border>
    </dxf>
    <dxf>
      <border outline="0">
        <top style="thin">
          <color rgb="FFBFBFBF"/>
        </top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mbria"/>
        <family val="1"/>
        <scheme val="none"/>
      </font>
      <fill>
        <patternFill patternType="solid">
          <fgColor rgb="FF2E4D8A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" formatCode="0"/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" formatCode="#,##0"/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rgb="FFF9F9F9"/>
          <bgColor rgb="FFFFFFFF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" formatCode="0"/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mbria"/>
        <family val="1"/>
        <scheme val="none"/>
      </font>
      <fill>
        <patternFill patternType="solid">
          <fgColor rgb="FF2E4D8A"/>
          <bgColor rgb="FF1F386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6" formatCode="0.0%"/>
      <fill>
        <patternFill patternType="solid">
          <fgColor rgb="FFF9F9F9"/>
          <bgColor rgb="FFF2F2F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4" formatCode="#,##0.00&quot; €&quot;"/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rgb="FFF9F9F9"/>
          <bgColor rgb="FFFFFFFF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" formatCode="0"/>
      <fill>
        <patternFill patternType="solid">
          <fgColor rgb="FFF9F9F9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2E4D8A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78787"/>
      <rgbColor rgb="FF9999FF"/>
      <rgbColor rgb="FF993366"/>
      <rgbColor rgb="FFFFF2CC"/>
      <rgbColor rgb="FFD6E8F5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D9D9D9"/>
      <rgbColor rgb="FFF9F9F9"/>
      <rgbColor rgb="FFD6E4BC"/>
      <rgbColor rgb="FFF8D0C4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DE" sz="1800" b="1" strike="noStrike" spc="-1">
                <a:solidFill>
                  <a:srgbClr val="000000"/>
                </a:solidFill>
                <a:latin typeface="Calibri"/>
              </a:rPr>
              <a:t>Monatlicher Umsatz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'📈 Umsatz'!$A$4:$A$24</c:f>
              <c:numCache>
                <c:formatCode>m/d/yy</c:formatCode>
                <c:ptCount val="2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  <c:pt idx="11">
                  <c:v>45931</c:v>
                </c:pt>
                <c:pt idx="12">
                  <c:v>45962</c:v>
                </c:pt>
                <c:pt idx="13">
                  <c:v>45992</c:v>
                </c:pt>
                <c:pt idx="14">
                  <c:v>46023</c:v>
                </c:pt>
                <c:pt idx="15">
                  <c:v>46054</c:v>
                </c:pt>
                <c:pt idx="16">
                  <c:v>46082</c:v>
                </c:pt>
              </c:numCache>
            </c:numRef>
          </c:cat>
          <c:val>
            <c:numRef>
              <c:f>'📈 Umsatz'!$C$4:$C$24</c:f>
              <c:numCache>
                <c:formatCode>_("€"* #,##0.00_);_("€"* \(#,##0.00\);_("€"* "-"??_);_(@_)</c:formatCode>
                <c:ptCount val="21"/>
                <c:pt idx="0">
                  <c:v>163.97</c:v>
                </c:pt>
                <c:pt idx="1">
                  <c:v>517.95000000000005</c:v>
                </c:pt>
                <c:pt idx="2">
                  <c:v>413.96</c:v>
                </c:pt>
                <c:pt idx="3">
                  <c:v>231.96</c:v>
                </c:pt>
                <c:pt idx="4">
                  <c:v>596.91</c:v>
                </c:pt>
                <c:pt idx="5">
                  <c:v>863.86</c:v>
                </c:pt>
                <c:pt idx="6">
                  <c:v>541.94000000000005</c:v>
                </c:pt>
                <c:pt idx="7">
                  <c:v>2032.83</c:v>
                </c:pt>
                <c:pt idx="8">
                  <c:v>3643.71</c:v>
                </c:pt>
                <c:pt idx="9">
                  <c:v>6519.63</c:v>
                </c:pt>
                <c:pt idx="10">
                  <c:v>5678.56</c:v>
                </c:pt>
                <c:pt idx="11">
                  <c:v>7026.5</c:v>
                </c:pt>
                <c:pt idx="12">
                  <c:v>8857.61</c:v>
                </c:pt>
                <c:pt idx="13">
                  <c:v>5355.08</c:v>
                </c:pt>
                <c:pt idx="14">
                  <c:v>3720.74</c:v>
                </c:pt>
                <c:pt idx="15">
                  <c:v>3994.69</c:v>
                </c:pt>
                <c:pt idx="16">
                  <c:v>1777.79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B65A-6643-9387-F3A29B42F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341763"/>
        <c:axId val="86429499"/>
      </c:barChart>
      <c:dateAx>
        <c:axId val="413417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e-DE" sz="1000" b="1" strike="noStrike" spc="-1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86429499"/>
        <c:crosses val="autoZero"/>
        <c:auto val="0"/>
        <c:lblOffset val="100"/>
        <c:baseTimeUnit val="months"/>
      </c:dateAx>
      <c:valAx>
        <c:axId val="864294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e-DE" sz="1000" b="1" strike="noStrike" spc="-1">
                    <a:solidFill>
                      <a:srgbClr val="000000"/>
                    </a:solidFill>
                    <a:latin typeface="Calibri"/>
                  </a:rPr>
                  <a:t>Umsatz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de-DE"/>
          </a:p>
        </c:txPr>
        <c:crossAx val="41341763"/>
        <c:crossesAt val="45597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Anzahl der Angebote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cat>
            <c:numRef>
              <c:f>'⚖️ Parität'!$B$15:$B$104</c:f>
              <c:numCache>
                <c:formatCode>m/d/yy</c:formatCode>
                <c:ptCount val="90"/>
                <c:pt idx="0">
                  <c:v>46005</c:v>
                </c:pt>
                <c:pt idx="1">
                  <c:v>46006</c:v>
                </c:pt>
                <c:pt idx="2">
                  <c:v>46007</c:v>
                </c:pt>
                <c:pt idx="3">
                  <c:v>46008</c:v>
                </c:pt>
                <c:pt idx="4">
                  <c:v>46009</c:v>
                </c:pt>
                <c:pt idx="5">
                  <c:v>46010</c:v>
                </c:pt>
                <c:pt idx="6">
                  <c:v>46011</c:v>
                </c:pt>
                <c:pt idx="7">
                  <c:v>46012</c:v>
                </c:pt>
                <c:pt idx="8">
                  <c:v>46013</c:v>
                </c:pt>
                <c:pt idx="9">
                  <c:v>46014</c:v>
                </c:pt>
                <c:pt idx="10">
                  <c:v>46015</c:v>
                </c:pt>
                <c:pt idx="11">
                  <c:v>46016</c:v>
                </c:pt>
                <c:pt idx="12">
                  <c:v>46017</c:v>
                </c:pt>
                <c:pt idx="13">
                  <c:v>46018</c:v>
                </c:pt>
                <c:pt idx="14">
                  <c:v>46019</c:v>
                </c:pt>
                <c:pt idx="15">
                  <c:v>46020</c:v>
                </c:pt>
                <c:pt idx="16">
                  <c:v>46021</c:v>
                </c:pt>
                <c:pt idx="17">
                  <c:v>46022</c:v>
                </c:pt>
                <c:pt idx="18">
                  <c:v>46023</c:v>
                </c:pt>
                <c:pt idx="19">
                  <c:v>46024</c:v>
                </c:pt>
                <c:pt idx="20">
                  <c:v>46025</c:v>
                </c:pt>
                <c:pt idx="21">
                  <c:v>46026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46032</c:v>
                </c:pt>
                <c:pt idx="28">
                  <c:v>46033</c:v>
                </c:pt>
                <c:pt idx="29">
                  <c:v>46034</c:v>
                </c:pt>
                <c:pt idx="30">
                  <c:v>46035</c:v>
                </c:pt>
                <c:pt idx="31">
                  <c:v>46036</c:v>
                </c:pt>
                <c:pt idx="32">
                  <c:v>46037</c:v>
                </c:pt>
                <c:pt idx="33">
                  <c:v>46038</c:v>
                </c:pt>
                <c:pt idx="34">
                  <c:v>46039</c:v>
                </c:pt>
                <c:pt idx="35">
                  <c:v>46040</c:v>
                </c:pt>
                <c:pt idx="36">
                  <c:v>46041</c:v>
                </c:pt>
                <c:pt idx="37">
                  <c:v>46042</c:v>
                </c:pt>
                <c:pt idx="38">
                  <c:v>46043</c:v>
                </c:pt>
                <c:pt idx="39">
                  <c:v>46044</c:v>
                </c:pt>
                <c:pt idx="40">
                  <c:v>46045</c:v>
                </c:pt>
                <c:pt idx="41">
                  <c:v>46046</c:v>
                </c:pt>
                <c:pt idx="42">
                  <c:v>46047</c:v>
                </c:pt>
                <c:pt idx="43">
                  <c:v>46048</c:v>
                </c:pt>
                <c:pt idx="44">
                  <c:v>46049</c:v>
                </c:pt>
                <c:pt idx="45">
                  <c:v>46050</c:v>
                </c:pt>
                <c:pt idx="46">
                  <c:v>46051</c:v>
                </c:pt>
                <c:pt idx="47">
                  <c:v>46052</c:v>
                </c:pt>
                <c:pt idx="48">
                  <c:v>46053</c:v>
                </c:pt>
                <c:pt idx="49">
                  <c:v>46054</c:v>
                </c:pt>
                <c:pt idx="50">
                  <c:v>46055</c:v>
                </c:pt>
                <c:pt idx="51">
                  <c:v>46056</c:v>
                </c:pt>
                <c:pt idx="52">
                  <c:v>46057</c:v>
                </c:pt>
                <c:pt idx="53">
                  <c:v>46058</c:v>
                </c:pt>
                <c:pt idx="54">
                  <c:v>46059</c:v>
                </c:pt>
                <c:pt idx="55">
                  <c:v>46060</c:v>
                </c:pt>
                <c:pt idx="56">
                  <c:v>46061</c:v>
                </c:pt>
                <c:pt idx="57">
                  <c:v>46062</c:v>
                </c:pt>
                <c:pt idx="58">
                  <c:v>46063</c:v>
                </c:pt>
                <c:pt idx="59">
                  <c:v>46064</c:v>
                </c:pt>
                <c:pt idx="60">
                  <c:v>46065</c:v>
                </c:pt>
                <c:pt idx="61">
                  <c:v>46066</c:v>
                </c:pt>
                <c:pt idx="62">
                  <c:v>46067</c:v>
                </c:pt>
                <c:pt idx="63">
                  <c:v>46068</c:v>
                </c:pt>
                <c:pt idx="64">
                  <c:v>46069</c:v>
                </c:pt>
                <c:pt idx="65">
                  <c:v>46070</c:v>
                </c:pt>
                <c:pt idx="66">
                  <c:v>46071</c:v>
                </c:pt>
                <c:pt idx="67">
                  <c:v>46072</c:v>
                </c:pt>
                <c:pt idx="68">
                  <c:v>46073</c:v>
                </c:pt>
                <c:pt idx="69">
                  <c:v>46074</c:v>
                </c:pt>
                <c:pt idx="70">
                  <c:v>46075</c:v>
                </c:pt>
                <c:pt idx="71">
                  <c:v>46076</c:v>
                </c:pt>
                <c:pt idx="72">
                  <c:v>46077</c:v>
                </c:pt>
                <c:pt idx="73">
                  <c:v>46078</c:v>
                </c:pt>
                <c:pt idx="74">
                  <c:v>46079</c:v>
                </c:pt>
                <c:pt idx="75">
                  <c:v>46080</c:v>
                </c:pt>
                <c:pt idx="76">
                  <c:v>46081</c:v>
                </c:pt>
                <c:pt idx="77">
                  <c:v>46082</c:v>
                </c:pt>
                <c:pt idx="78">
                  <c:v>46083</c:v>
                </c:pt>
                <c:pt idx="79">
                  <c:v>46084</c:v>
                </c:pt>
                <c:pt idx="80">
                  <c:v>46085</c:v>
                </c:pt>
                <c:pt idx="81">
                  <c:v>46086</c:v>
                </c:pt>
                <c:pt idx="82">
                  <c:v>46087</c:v>
                </c:pt>
                <c:pt idx="83">
                  <c:v>46088</c:v>
                </c:pt>
                <c:pt idx="84">
                  <c:v>46089</c:v>
                </c:pt>
                <c:pt idx="85">
                  <c:v>46090</c:v>
                </c:pt>
                <c:pt idx="86">
                  <c:v>46091</c:v>
                </c:pt>
                <c:pt idx="87">
                  <c:v>46092</c:v>
                </c:pt>
                <c:pt idx="88">
                  <c:v>46093</c:v>
                </c:pt>
                <c:pt idx="89">
                  <c:v>46094</c:v>
                </c:pt>
              </c:numCache>
            </c:numRef>
          </c:cat>
          <c:val>
            <c:numRef>
              <c:f>'⚖️ Parität'!$C$15:$C$44</c:f>
              <c:numCache>
                <c:formatCode>General</c:formatCode>
                <c:ptCount val="30"/>
                <c:pt idx="0">
                  <c:v>4682</c:v>
                </c:pt>
                <c:pt idx="1">
                  <c:v>4682</c:v>
                </c:pt>
                <c:pt idx="2">
                  <c:v>4679</c:v>
                </c:pt>
                <c:pt idx="3">
                  <c:v>4866</c:v>
                </c:pt>
                <c:pt idx="4">
                  <c:v>4949</c:v>
                </c:pt>
                <c:pt idx="5">
                  <c:v>4886</c:v>
                </c:pt>
                <c:pt idx="6">
                  <c:v>4985</c:v>
                </c:pt>
                <c:pt idx="7">
                  <c:v>4874</c:v>
                </c:pt>
                <c:pt idx="8">
                  <c:v>5004</c:v>
                </c:pt>
                <c:pt idx="9">
                  <c:v>4889</c:v>
                </c:pt>
                <c:pt idx="10">
                  <c:v>4828</c:v>
                </c:pt>
                <c:pt idx="11">
                  <c:v>4923</c:v>
                </c:pt>
                <c:pt idx="12">
                  <c:v>4873</c:v>
                </c:pt>
                <c:pt idx="13">
                  <c:v>4937</c:v>
                </c:pt>
                <c:pt idx="14">
                  <c:v>4883</c:v>
                </c:pt>
                <c:pt idx="15">
                  <c:v>4903</c:v>
                </c:pt>
                <c:pt idx="16">
                  <c:v>4934</c:v>
                </c:pt>
                <c:pt idx="17">
                  <c:v>4899</c:v>
                </c:pt>
                <c:pt idx="18">
                  <c:v>4877</c:v>
                </c:pt>
                <c:pt idx="19">
                  <c:v>4763</c:v>
                </c:pt>
                <c:pt idx="20">
                  <c:v>4859</c:v>
                </c:pt>
                <c:pt idx="21">
                  <c:v>4935</c:v>
                </c:pt>
                <c:pt idx="22">
                  <c:v>4934</c:v>
                </c:pt>
                <c:pt idx="23">
                  <c:v>4895</c:v>
                </c:pt>
                <c:pt idx="24">
                  <c:v>4931</c:v>
                </c:pt>
                <c:pt idx="25">
                  <c:v>4902</c:v>
                </c:pt>
                <c:pt idx="26">
                  <c:v>4836</c:v>
                </c:pt>
                <c:pt idx="27">
                  <c:v>4837</c:v>
                </c:pt>
                <c:pt idx="28">
                  <c:v>4914</c:v>
                </c:pt>
                <c:pt idx="29">
                  <c:v>4863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AE-1E47-A173-9175F8BBF528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'⚖️ Parität'!$B$15:$B$104</c:f>
              <c:numCache>
                <c:formatCode>m/d/yy</c:formatCode>
                <c:ptCount val="90"/>
                <c:pt idx="0">
                  <c:v>46005</c:v>
                </c:pt>
                <c:pt idx="1">
                  <c:v>46006</c:v>
                </c:pt>
                <c:pt idx="2">
                  <c:v>46007</c:v>
                </c:pt>
                <c:pt idx="3">
                  <c:v>46008</c:v>
                </c:pt>
                <c:pt idx="4">
                  <c:v>46009</c:v>
                </c:pt>
                <c:pt idx="5">
                  <c:v>46010</c:v>
                </c:pt>
                <c:pt idx="6">
                  <c:v>46011</c:v>
                </c:pt>
                <c:pt idx="7">
                  <c:v>46012</c:v>
                </c:pt>
                <c:pt idx="8">
                  <c:v>46013</c:v>
                </c:pt>
                <c:pt idx="9">
                  <c:v>46014</c:v>
                </c:pt>
                <c:pt idx="10">
                  <c:v>46015</c:v>
                </c:pt>
                <c:pt idx="11">
                  <c:v>46016</c:v>
                </c:pt>
                <c:pt idx="12">
                  <c:v>46017</c:v>
                </c:pt>
                <c:pt idx="13">
                  <c:v>46018</c:v>
                </c:pt>
                <c:pt idx="14">
                  <c:v>46019</c:v>
                </c:pt>
                <c:pt idx="15">
                  <c:v>46020</c:v>
                </c:pt>
                <c:pt idx="16">
                  <c:v>46021</c:v>
                </c:pt>
                <c:pt idx="17">
                  <c:v>46022</c:v>
                </c:pt>
                <c:pt idx="18">
                  <c:v>46023</c:v>
                </c:pt>
                <c:pt idx="19">
                  <c:v>46024</c:v>
                </c:pt>
                <c:pt idx="20">
                  <c:v>46025</c:v>
                </c:pt>
                <c:pt idx="21">
                  <c:v>46026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46032</c:v>
                </c:pt>
                <c:pt idx="28">
                  <c:v>46033</c:v>
                </c:pt>
                <c:pt idx="29">
                  <c:v>46034</c:v>
                </c:pt>
                <c:pt idx="30">
                  <c:v>46035</c:v>
                </c:pt>
                <c:pt idx="31">
                  <c:v>46036</c:v>
                </c:pt>
                <c:pt idx="32">
                  <c:v>46037</c:v>
                </c:pt>
                <c:pt idx="33">
                  <c:v>46038</c:v>
                </c:pt>
                <c:pt idx="34">
                  <c:v>46039</c:v>
                </c:pt>
                <c:pt idx="35">
                  <c:v>46040</c:v>
                </c:pt>
                <c:pt idx="36">
                  <c:v>46041</c:v>
                </c:pt>
                <c:pt idx="37">
                  <c:v>46042</c:v>
                </c:pt>
                <c:pt idx="38">
                  <c:v>46043</c:v>
                </c:pt>
                <c:pt idx="39">
                  <c:v>46044</c:v>
                </c:pt>
                <c:pt idx="40">
                  <c:v>46045</c:v>
                </c:pt>
                <c:pt idx="41">
                  <c:v>46046</c:v>
                </c:pt>
                <c:pt idx="42">
                  <c:v>46047</c:v>
                </c:pt>
                <c:pt idx="43">
                  <c:v>46048</c:v>
                </c:pt>
                <c:pt idx="44">
                  <c:v>46049</c:v>
                </c:pt>
                <c:pt idx="45">
                  <c:v>46050</c:v>
                </c:pt>
                <c:pt idx="46">
                  <c:v>46051</c:v>
                </c:pt>
                <c:pt idx="47">
                  <c:v>46052</c:v>
                </c:pt>
                <c:pt idx="48">
                  <c:v>46053</c:v>
                </c:pt>
                <c:pt idx="49">
                  <c:v>46054</c:v>
                </c:pt>
                <c:pt idx="50">
                  <c:v>46055</c:v>
                </c:pt>
                <c:pt idx="51">
                  <c:v>46056</c:v>
                </c:pt>
                <c:pt idx="52">
                  <c:v>46057</c:v>
                </c:pt>
                <c:pt idx="53">
                  <c:v>46058</c:v>
                </c:pt>
                <c:pt idx="54">
                  <c:v>46059</c:v>
                </c:pt>
                <c:pt idx="55">
                  <c:v>46060</c:v>
                </c:pt>
                <c:pt idx="56">
                  <c:v>46061</c:v>
                </c:pt>
                <c:pt idx="57">
                  <c:v>46062</c:v>
                </c:pt>
                <c:pt idx="58">
                  <c:v>46063</c:v>
                </c:pt>
                <c:pt idx="59">
                  <c:v>46064</c:v>
                </c:pt>
                <c:pt idx="60">
                  <c:v>46065</c:v>
                </c:pt>
                <c:pt idx="61">
                  <c:v>46066</c:v>
                </c:pt>
                <c:pt idx="62">
                  <c:v>46067</c:v>
                </c:pt>
                <c:pt idx="63">
                  <c:v>46068</c:v>
                </c:pt>
                <c:pt idx="64">
                  <c:v>46069</c:v>
                </c:pt>
                <c:pt idx="65">
                  <c:v>46070</c:v>
                </c:pt>
                <c:pt idx="66">
                  <c:v>46071</c:v>
                </c:pt>
                <c:pt idx="67">
                  <c:v>46072</c:v>
                </c:pt>
                <c:pt idx="68">
                  <c:v>46073</c:v>
                </c:pt>
                <c:pt idx="69">
                  <c:v>46074</c:v>
                </c:pt>
                <c:pt idx="70">
                  <c:v>46075</c:v>
                </c:pt>
                <c:pt idx="71">
                  <c:v>46076</c:v>
                </c:pt>
                <c:pt idx="72">
                  <c:v>46077</c:v>
                </c:pt>
                <c:pt idx="73">
                  <c:v>46078</c:v>
                </c:pt>
                <c:pt idx="74">
                  <c:v>46079</c:v>
                </c:pt>
                <c:pt idx="75">
                  <c:v>46080</c:v>
                </c:pt>
                <c:pt idx="76">
                  <c:v>46081</c:v>
                </c:pt>
                <c:pt idx="77">
                  <c:v>46082</c:v>
                </c:pt>
                <c:pt idx="78">
                  <c:v>46083</c:v>
                </c:pt>
                <c:pt idx="79">
                  <c:v>46084</c:v>
                </c:pt>
                <c:pt idx="80">
                  <c:v>46085</c:v>
                </c:pt>
                <c:pt idx="81">
                  <c:v>46086</c:v>
                </c:pt>
                <c:pt idx="82">
                  <c:v>46087</c:v>
                </c:pt>
                <c:pt idx="83">
                  <c:v>46088</c:v>
                </c:pt>
                <c:pt idx="84">
                  <c:v>46089</c:v>
                </c:pt>
                <c:pt idx="85">
                  <c:v>46090</c:v>
                </c:pt>
                <c:pt idx="86">
                  <c:v>46091</c:v>
                </c:pt>
                <c:pt idx="87">
                  <c:v>46092</c:v>
                </c:pt>
                <c:pt idx="88">
                  <c:v>46093</c:v>
                </c:pt>
                <c:pt idx="89">
                  <c:v>46094</c:v>
                </c:pt>
              </c:numCache>
            </c:numRef>
          </c:cat>
          <c:val>
            <c:numRef>
              <c:f>'⚖️ Parität'!$C$15:$C$104</c:f>
              <c:numCache>
                <c:formatCode>General</c:formatCode>
                <c:ptCount val="90"/>
                <c:pt idx="0">
                  <c:v>4682</c:v>
                </c:pt>
                <c:pt idx="1">
                  <c:v>4682</c:v>
                </c:pt>
                <c:pt idx="2">
                  <c:v>4679</c:v>
                </c:pt>
                <c:pt idx="3">
                  <c:v>4866</c:v>
                </c:pt>
                <c:pt idx="4">
                  <c:v>4949</c:v>
                </c:pt>
                <c:pt idx="5">
                  <c:v>4886</c:v>
                </c:pt>
                <c:pt idx="6">
                  <c:v>4985</c:v>
                </c:pt>
                <c:pt idx="7">
                  <c:v>4874</c:v>
                </c:pt>
                <c:pt idx="8">
                  <c:v>5004</c:v>
                </c:pt>
                <c:pt idx="9">
                  <c:v>4889</c:v>
                </c:pt>
                <c:pt idx="10">
                  <c:v>4828</c:v>
                </c:pt>
                <c:pt idx="11">
                  <c:v>4923</c:v>
                </c:pt>
                <c:pt idx="12">
                  <c:v>4873</c:v>
                </c:pt>
                <c:pt idx="13">
                  <c:v>4937</c:v>
                </c:pt>
                <c:pt idx="14">
                  <c:v>4883</c:v>
                </c:pt>
                <c:pt idx="15">
                  <c:v>4903</c:v>
                </c:pt>
                <c:pt idx="16">
                  <c:v>4934</c:v>
                </c:pt>
                <c:pt idx="17">
                  <c:v>4899</c:v>
                </c:pt>
                <c:pt idx="18">
                  <c:v>4877</c:v>
                </c:pt>
                <c:pt idx="19">
                  <c:v>4763</c:v>
                </c:pt>
                <c:pt idx="20">
                  <c:v>4859</c:v>
                </c:pt>
                <c:pt idx="21">
                  <c:v>4935</c:v>
                </c:pt>
                <c:pt idx="22">
                  <c:v>4934</c:v>
                </c:pt>
                <c:pt idx="23">
                  <c:v>4895</c:v>
                </c:pt>
                <c:pt idx="24">
                  <c:v>4931</c:v>
                </c:pt>
                <c:pt idx="25">
                  <c:v>4902</c:v>
                </c:pt>
                <c:pt idx="26">
                  <c:v>4836</c:v>
                </c:pt>
                <c:pt idx="27">
                  <c:v>4837</c:v>
                </c:pt>
                <c:pt idx="28">
                  <c:v>4914</c:v>
                </c:pt>
                <c:pt idx="29">
                  <c:v>4863</c:v>
                </c:pt>
                <c:pt idx="30">
                  <c:v>4837</c:v>
                </c:pt>
                <c:pt idx="31">
                  <c:v>4846</c:v>
                </c:pt>
                <c:pt idx="32">
                  <c:v>4721</c:v>
                </c:pt>
                <c:pt idx="33">
                  <c:v>4683</c:v>
                </c:pt>
                <c:pt idx="34">
                  <c:v>4895</c:v>
                </c:pt>
                <c:pt idx="35">
                  <c:v>4851</c:v>
                </c:pt>
                <c:pt idx="36">
                  <c:v>4869</c:v>
                </c:pt>
                <c:pt idx="37">
                  <c:v>4956</c:v>
                </c:pt>
                <c:pt idx="38">
                  <c:v>4896</c:v>
                </c:pt>
                <c:pt idx="39">
                  <c:v>4870</c:v>
                </c:pt>
                <c:pt idx="40">
                  <c:v>4852</c:v>
                </c:pt>
                <c:pt idx="41">
                  <c:v>4882</c:v>
                </c:pt>
                <c:pt idx="42">
                  <c:v>4848</c:v>
                </c:pt>
                <c:pt idx="43">
                  <c:v>4733</c:v>
                </c:pt>
                <c:pt idx="44">
                  <c:v>4777</c:v>
                </c:pt>
                <c:pt idx="45">
                  <c:v>4846</c:v>
                </c:pt>
                <c:pt idx="46">
                  <c:v>4813</c:v>
                </c:pt>
                <c:pt idx="47">
                  <c:v>4847</c:v>
                </c:pt>
                <c:pt idx="48">
                  <c:v>4670</c:v>
                </c:pt>
                <c:pt idx="49">
                  <c:v>4784</c:v>
                </c:pt>
                <c:pt idx="50">
                  <c:v>4867</c:v>
                </c:pt>
                <c:pt idx="51">
                  <c:v>4819</c:v>
                </c:pt>
                <c:pt idx="52">
                  <c:v>4811</c:v>
                </c:pt>
                <c:pt idx="53">
                  <c:v>4745</c:v>
                </c:pt>
                <c:pt idx="54">
                  <c:v>4784</c:v>
                </c:pt>
                <c:pt idx="55">
                  <c:v>4707</c:v>
                </c:pt>
                <c:pt idx="56">
                  <c:v>4850</c:v>
                </c:pt>
                <c:pt idx="57">
                  <c:v>4830</c:v>
                </c:pt>
                <c:pt idx="58">
                  <c:v>4760</c:v>
                </c:pt>
                <c:pt idx="59">
                  <c:v>4938</c:v>
                </c:pt>
                <c:pt idx="60">
                  <c:v>4916</c:v>
                </c:pt>
                <c:pt idx="61">
                  <c:v>4940</c:v>
                </c:pt>
                <c:pt idx="62">
                  <c:v>4953</c:v>
                </c:pt>
                <c:pt idx="63">
                  <c:v>4780</c:v>
                </c:pt>
                <c:pt idx="64">
                  <c:v>4962</c:v>
                </c:pt>
                <c:pt idx="65">
                  <c:v>4838</c:v>
                </c:pt>
                <c:pt idx="66">
                  <c:v>4905</c:v>
                </c:pt>
                <c:pt idx="67">
                  <c:v>4840</c:v>
                </c:pt>
                <c:pt idx="68">
                  <c:v>4933</c:v>
                </c:pt>
                <c:pt idx="69">
                  <c:v>5040</c:v>
                </c:pt>
                <c:pt idx="70">
                  <c:v>5123</c:v>
                </c:pt>
                <c:pt idx="71">
                  <c:v>5054</c:v>
                </c:pt>
                <c:pt idx="72">
                  <c:v>5102</c:v>
                </c:pt>
                <c:pt idx="73">
                  <c:v>5010</c:v>
                </c:pt>
                <c:pt idx="74">
                  <c:v>5012</c:v>
                </c:pt>
                <c:pt idx="75">
                  <c:v>4924</c:v>
                </c:pt>
                <c:pt idx="76">
                  <c:v>5033</c:v>
                </c:pt>
                <c:pt idx="77">
                  <c:v>4975</c:v>
                </c:pt>
                <c:pt idx="78">
                  <c:v>4944</c:v>
                </c:pt>
                <c:pt idx="79">
                  <c:v>4900</c:v>
                </c:pt>
                <c:pt idx="80">
                  <c:v>4644</c:v>
                </c:pt>
                <c:pt idx="81">
                  <c:v>4857</c:v>
                </c:pt>
                <c:pt idx="82">
                  <c:v>4878</c:v>
                </c:pt>
                <c:pt idx="83">
                  <c:v>4841</c:v>
                </c:pt>
                <c:pt idx="84">
                  <c:v>4992</c:v>
                </c:pt>
                <c:pt idx="85">
                  <c:v>4916</c:v>
                </c:pt>
                <c:pt idx="86">
                  <c:v>4778</c:v>
                </c:pt>
                <c:pt idx="87">
                  <c:v>4748</c:v>
                </c:pt>
                <c:pt idx="88">
                  <c:v>4875</c:v>
                </c:pt>
                <c:pt idx="89">
                  <c:v>4695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AE-1E47-A173-9175F8BBF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5318143"/>
        <c:axId val="1394917375"/>
      </c:lineChart>
      <c:dateAx>
        <c:axId val="1385318143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94917375"/>
        <c:crosses val="autoZero"/>
        <c:auto val="1"/>
        <c:lblOffset val="100"/>
        <c:baseTimeUnit val="days"/>
        <c:majorUnit val="2"/>
        <c:minorUnit val="1"/>
      </c:dateAx>
      <c:valAx>
        <c:axId val="139491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8531814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Preis-Parität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cked"/>
        <c:varyColors val="0"/>
        <c:ser>
          <c:idx val="2"/>
          <c:order val="0"/>
          <c:tx>
            <c:strRef>
              <c:f>'⚖️ Parität'!$D$14</c:f>
              <c:strCache>
                <c:ptCount val="1"/>
                <c:pt idx="0">
                  <c:v>Meta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'⚖️ Parität'!$B$14:$B$103</c:f>
              <c:strCache>
                <c:ptCount val="90"/>
                <c:pt idx="0">
                  <c:v>Datum</c:v>
                </c:pt>
                <c:pt idx="1">
                  <c:v>14.12.25</c:v>
                </c:pt>
                <c:pt idx="2">
                  <c:v>15.12.25</c:v>
                </c:pt>
                <c:pt idx="3">
                  <c:v>16.12.25</c:v>
                </c:pt>
                <c:pt idx="4">
                  <c:v>17.12.25</c:v>
                </c:pt>
                <c:pt idx="5">
                  <c:v>18.12.25</c:v>
                </c:pt>
                <c:pt idx="6">
                  <c:v>19.12.25</c:v>
                </c:pt>
                <c:pt idx="7">
                  <c:v>20.12.25</c:v>
                </c:pt>
                <c:pt idx="8">
                  <c:v>21.12.25</c:v>
                </c:pt>
                <c:pt idx="9">
                  <c:v>22.12.25</c:v>
                </c:pt>
                <c:pt idx="10">
                  <c:v>23.12.25</c:v>
                </c:pt>
                <c:pt idx="11">
                  <c:v>24.12.25</c:v>
                </c:pt>
                <c:pt idx="12">
                  <c:v>25.12.25</c:v>
                </c:pt>
                <c:pt idx="13">
                  <c:v>26.12.25</c:v>
                </c:pt>
                <c:pt idx="14">
                  <c:v>27.12.25</c:v>
                </c:pt>
                <c:pt idx="15">
                  <c:v>28.12.25</c:v>
                </c:pt>
                <c:pt idx="16">
                  <c:v>29.12.25</c:v>
                </c:pt>
                <c:pt idx="17">
                  <c:v>30.12.25</c:v>
                </c:pt>
                <c:pt idx="18">
                  <c:v>31.12.25</c:v>
                </c:pt>
                <c:pt idx="19">
                  <c:v>01.01.26</c:v>
                </c:pt>
                <c:pt idx="20">
                  <c:v>02.01.26</c:v>
                </c:pt>
                <c:pt idx="21">
                  <c:v>03.01.26</c:v>
                </c:pt>
                <c:pt idx="22">
                  <c:v>04.01.26</c:v>
                </c:pt>
                <c:pt idx="23">
                  <c:v>05.01.26</c:v>
                </c:pt>
                <c:pt idx="24">
                  <c:v>06.01.26</c:v>
                </c:pt>
                <c:pt idx="25">
                  <c:v>07.01.26</c:v>
                </c:pt>
                <c:pt idx="26">
                  <c:v>08.01.26</c:v>
                </c:pt>
                <c:pt idx="27">
                  <c:v>09.01.26</c:v>
                </c:pt>
                <c:pt idx="28">
                  <c:v>10.01.26</c:v>
                </c:pt>
                <c:pt idx="29">
                  <c:v>11.01.26</c:v>
                </c:pt>
                <c:pt idx="30">
                  <c:v>12.01.26</c:v>
                </c:pt>
                <c:pt idx="31">
                  <c:v>13.01.26</c:v>
                </c:pt>
                <c:pt idx="32">
                  <c:v>14.01.26</c:v>
                </c:pt>
                <c:pt idx="33">
                  <c:v>15.01.26</c:v>
                </c:pt>
                <c:pt idx="34">
                  <c:v>16.01.26</c:v>
                </c:pt>
                <c:pt idx="35">
                  <c:v>17.01.26</c:v>
                </c:pt>
                <c:pt idx="36">
                  <c:v>18.01.26</c:v>
                </c:pt>
                <c:pt idx="37">
                  <c:v>19.01.26</c:v>
                </c:pt>
                <c:pt idx="38">
                  <c:v>20.01.26</c:v>
                </c:pt>
                <c:pt idx="39">
                  <c:v>21.01.26</c:v>
                </c:pt>
                <c:pt idx="40">
                  <c:v>22.01.26</c:v>
                </c:pt>
                <c:pt idx="41">
                  <c:v>23.01.26</c:v>
                </c:pt>
                <c:pt idx="42">
                  <c:v>24.01.26</c:v>
                </c:pt>
                <c:pt idx="43">
                  <c:v>25.01.26</c:v>
                </c:pt>
                <c:pt idx="44">
                  <c:v>26.01.26</c:v>
                </c:pt>
                <c:pt idx="45">
                  <c:v>27.01.26</c:v>
                </c:pt>
                <c:pt idx="46">
                  <c:v>28.01.26</c:v>
                </c:pt>
                <c:pt idx="47">
                  <c:v>29.01.26</c:v>
                </c:pt>
                <c:pt idx="48">
                  <c:v>30.01.26</c:v>
                </c:pt>
                <c:pt idx="49">
                  <c:v>31.01.26</c:v>
                </c:pt>
                <c:pt idx="50">
                  <c:v>01.02.26</c:v>
                </c:pt>
                <c:pt idx="51">
                  <c:v>02.02.26</c:v>
                </c:pt>
                <c:pt idx="52">
                  <c:v>03.02.26</c:v>
                </c:pt>
                <c:pt idx="53">
                  <c:v>04.02.26</c:v>
                </c:pt>
                <c:pt idx="54">
                  <c:v>05.02.26</c:v>
                </c:pt>
                <c:pt idx="55">
                  <c:v>06.02.26</c:v>
                </c:pt>
                <c:pt idx="56">
                  <c:v>07.02.26</c:v>
                </c:pt>
                <c:pt idx="57">
                  <c:v>08.02.26</c:v>
                </c:pt>
                <c:pt idx="58">
                  <c:v>09.02.26</c:v>
                </c:pt>
                <c:pt idx="59">
                  <c:v>10.02.26</c:v>
                </c:pt>
                <c:pt idx="60">
                  <c:v>11.02.26</c:v>
                </c:pt>
                <c:pt idx="61">
                  <c:v>12.02.26</c:v>
                </c:pt>
                <c:pt idx="62">
                  <c:v>13.02.26</c:v>
                </c:pt>
                <c:pt idx="63">
                  <c:v>14.02.26</c:v>
                </c:pt>
                <c:pt idx="64">
                  <c:v>15.02.26</c:v>
                </c:pt>
                <c:pt idx="65">
                  <c:v>16.02.26</c:v>
                </c:pt>
                <c:pt idx="66">
                  <c:v>17.02.26</c:v>
                </c:pt>
                <c:pt idx="67">
                  <c:v>18.02.26</c:v>
                </c:pt>
                <c:pt idx="68">
                  <c:v>19.02.26</c:v>
                </c:pt>
                <c:pt idx="69">
                  <c:v>20.02.26</c:v>
                </c:pt>
                <c:pt idx="70">
                  <c:v>21.02.26</c:v>
                </c:pt>
                <c:pt idx="71">
                  <c:v>22.02.26</c:v>
                </c:pt>
                <c:pt idx="72">
                  <c:v>23.02.26</c:v>
                </c:pt>
                <c:pt idx="73">
                  <c:v>24.02.26</c:v>
                </c:pt>
                <c:pt idx="74">
                  <c:v>25.02.26</c:v>
                </c:pt>
                <c:pt idx="75">
                  <c:v>26.02.26</c:v>
                </c:pt>
                <c:pt idx="76">
                  <c:v>27.02.26</c:v>
                </c:pt>
                <c:pt idx="77">
                  <c:v>28.02.26</c:v>
                </c:pt>
                <c:pt idx="78">
                  <c:v>01.03.26</c:v>
                </c:pt>
                <c:pt idx="79">
                  <c:v>02.03.26</c:v>
                </c:pt>
                <c:pt idx="80">
                  <c:v>03.03.26</c:v>
                </c:pt>
                <c:pt idx="81">
                  <c:v>04.03.26</c:v>
                </c:pt>
                <c:pt idx="82">
                  <c:v>05.03.26</c:v>
                </c:pt>
                <c:pt idx="83">
                  <c:v>06.03.26</c:v>
                </c:pt>
                <c:pt idx="84">
                  <c:v>07.03.26</c:v>
                </c:pt>
                <c:pt idx="85">
                  <c:v>08.03.26</c:v>
                </c:pt>
                <c:pt idx="86">
                  <c:v>09.03.26</c:v>
                </c:pt>
                <c:pt idx="87">
                  <c:v>10.03.26</c:v>
                </c:pt>
                <c:pt idx="88">
                  <c:v>11.03.26</c:v>
                </c:pt>
                <c:pt idx="89">
                  <c:v>12.03.26</c:v>
                </c:pt>
              </c:strCache>
            </c:strRef>
          </c:cat>
          <c:val>
            <c:numRef>
              <c:f>'⚖️ Parität'!$D$15:$D$104</c:f>
              <c:numCache>
                <c:formatCode>0.00%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0.30769999999999997</c:v>
                </c:pt>
                <c:pt idx="41">
                  <c:v>2E-3</c:v>
                </c:pt>
                <c:pt idx="42">
                  <c:v>0.26669999999999999</c:v>
                </c:pt>
                <c:pt idx="43">
                  <c:v>0.45450000000000002</c:v>
                </c:pt>
                <c:pt idx="44">
                  <c:v>2E-3</c:v>
                </c:pt>
                <c:pt idx="45">
                  <c:v>2.5000000000000001E-3</c:v>
                </c:pt>
                <c:pt idx="46">
                  <c:v>0.16670000000000001</c:v>
                </c:pt>
                <c:pt idx="47">
                  <c:v>0.46149999999999997</c:v>
                </c:pt>
                <c:pt idx="48">
                  <c:v>0.15380000000000002</c:v>
                </c:pt>
                <c:pt idx="49">
                  <c:v>0.28570000000000001</c:v>
                </c:pt>
                <c:pt idx="50">
                  <c:v>0.42859999999999998</c:v>
                </c:pt>
                <c:pt idx="51">
                  <c:v>2E-3</c:v>
                </c:pt>
                <c:pt idx="52">
                  <c:v>0.16670000000000001</c:v>
                </c:pt>
                <c:pt idx="53">
                  <c:v>2E-3</c:v>
                </c:pt>
                <c:pt idx="54">
                  <c:v>2E-3</c:v>
                </c:pt>
                <c:pt idx="55">
                  <c:v>0.15380000000000002</c:v>
                </c:pt>
                <c:pt idx="56">
                  <c:v>2E-3</c:v>
                </c:pt>
                <c:pt idx="57">
                  <c:v>4.0000000000000001E-3</c:v>
                </c:pt>
                <c:pt idx="58">
                  <c:v>1.2500000000000001E-2</c:v>
                </c:pt>
                <c:pt idx="59">
                  <c:v>0</c:v>
                </c:pt>
                <c:pt idx="60">
                  <c:v>0.33329999999999999</c:v>
                </c:pt>
                <c:pt idx="61">
                  <c:v>5.0000000000000001E-3</c:v>
                </c:pt>
                <c:pt idx="62">
                  <c:v>0</c:v>
                </c:pt>
                <c:pt idx="63">
                  <c:v>0</c:v>
                </c:pt>
                <c:pt idx="64">
                  <c:v>0.16670000000000001</c:v>
                </c:pt>
                <c:pt idx="65">
                  <c:v>0</c:v>
                </c:pt>
                <c:pt idx="66">
                  <c:v>2.5000000000000001E-3</c:v>
                </c:pt>
                <c:pt idx="67">
                  <c:v>0</c:v>
                </c:pt>
                <c:pt idx="68">
                  <c:v>1E-3</c:v>
                </c:pt>
                <c:pt idx="69">
                  <c:v>0.22219999999999998</c:v>
                </c:pt>
                <c:pt idx="70">
                  <c:v>0.11109999999999999</c:v>
                </c:pt>
                <c:pt idx="71">
                  <c:v>0.26319999999999999</c:v>
                </c:pt>
                <c:pt idx="72">
                  <c:v>0.23530000000000001</c:v>
                </c:pt>
                <c:pt idx="73">
                  <c:v>0.16670000000000001</c:v>
                </c:pt>
                <c:pt idx="74">
                  <c:v>0</c:v>
                </c:pt>
                <c:pt idx="75">
                  <c:v>0.1875</c:v>
                </c:pt>
                <c:pt idx="76">
                  <c:v>0</c:v>
                </c:pt>
                <c:pt idx="77">
                  <c:v>0.21050000000000002</c:v>
                </c:pt>
                <c:pt idx="78">
                  <c:v>0.1429</c:v>
                </c:pt>
                <c:pt idx="79">
                  <c:v>0.29410000000000003</c:v>
                </c:pt>
                <c:pt idx="80">
                  <c:v>0.16670000000000001</c:v>
                </c:pt>
                <c:pt idx="81">
                  <c:v>0.17649999999999999</c:v>
                </c:pt>
                <c:pt idx="82">
                  <c:v>0.2727</c:v>
                </c:pt>
                <c:pt idx="83">
                  <c:v>2E-3</c:v>
                </c:pt>
                <c:pt idx="84">
                  <c:v>0.1905</c:v>
                </c:pt>
                <c:pt idx="85">
                  <c:v>0.21739999999999998</c:v>
                </c:pt>
                <c:pt idx="86">
                  <c:v>0.29410000000000003</c:v>
                </c:pt>
                <c:pt idx="87">
                  <c:v>0.28570000000000001</c:v>
                </c:pt>
                <c:pt idx="88">
                  <c:v>0.22219999999999998</c:v>
                </c:pt>
                <c:pt idx="89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C1-D441-A76A-F8BAF84A3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6390207"/>
        <c:axId val="1432008255"/>
      </c:lineChart>
      <c:catAx>
        <c:axId val="1376390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2008255"/>
        <c:crosses val="autoZero"/>
        <c:auto val="1"/>
        <c:lblAlgn val="ctr"/>
        <c:lblOffset val="100"/>
        <c:noMultiLvlLbl val="0"/>
      </c:catAx>
      <c:valAx>
        <c:axId val="143200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76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1126941</xdr:colOff>
      <xdr:row>3</xdr:row>
      <xdr:rowOff>56420</xdr:rowOff>
    </xdr:from>
    <xdr:to>
      <xdr:col>20</xdr:col>
      <xdr:colOff>471372</xdr:colOff>
      <xdr:row>23</xdr:row>
      <xdr:rowOff>72189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375961</xdr:colOff>
      <xdr:row>14</xdr:row>
      <xdr:rowOff>68042</xdr:rowOff>
    </xdr:from>
    <xdr:to>
      <xdr:col>14</xdr:col>
      <xdr:colOff>305405</xdr:colOff>
      <xdr:row>28</xdr:row>
      <xdr:rowOff>44689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CD1E618-6801-0BBC-7D95-DB19193FA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465667</xdr:colOff>
      <xdr:row>30</xdr:row>
      <xdr:rowOff>95954</xdr:rowOff>
    </xdr:from>
    <xdr:to>
      <xdr:col>14</xdr:col>
      <xdr:colOff>395111</xdr:colOff>
      <xdr:row>44</xdr:row>
      <xdr:rowOff>73376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48BD5F4-D28B-45A8-9038-116AD19020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233680</xdr:colOff>
      <xdr:row>19</xdr:row>
      <xdr:rowOff>91440</xdr:rowOff>
    </xdr:from>
    <xdr:to>
      <xdr:col>12</xdr:col>
      <xdr:colOff>601980</xdr:colOff>
      <xdr:row>32</xdr:row>
      <xdr:rowOff>58420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6B2144B-26C4-4C2D-4EF3-793C8595A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99120" y="3820160"/>
          <a:ext cx="4991100" cy="24765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5" xr16:uid="{9510D5D1-C23E-E04A-8749-57C6F885B0A2}" autoFormatId="16" applyNumberFormats="0" applyBorderFormats="0" applyFontFormats="0" applyPatternFormats="0" applyAlignmentFormats="0" applyWidthHeightFormats="0">
  <queryTableRefresh nextId="26">
    <queryTableFields count="11">
      <queryTableField id="1" name="order_created_at" tableColumnId="1"/>
      <queryTableField id="2" name="order_sent_at" tableColumnId="2"/>
      <queryTableField id="3" name="order_transferred_to_shop_at" tableColumnId="3"/>
      <queryTableField id="4" name="promised_last_delivery_date" tableColumnId="4"/>
      <queryTableField id="5" name="updated_at" tableColumnId="5"/>
      <queryTableField id="6" name="csin" tableColumnId="6"/>
      <queryTableField id="7" name="gtin14" tableColumnId="7"/>
      <queryTableField id="8" name="order_number" tableColumnId="8"/>
      <queryTableField id="9" name="Titel" tableColumnId="9"/>
      <queryTableField id="24" name="is_c24_repriced_offer" tableColumnId="24"/>
      <queryTableField id="25" name="is_seller_repriced_offer" tableColumnId="25"/>
    </queryTableFields>
    <queryTableDeletedFields count="14">
      <deletedField name="Marke"/>
      <deletedField name="Kategorie"/>
      <deletedField name="Produktpreis"/>
      <deletedField name="Gesamtpreis"/>
      <deletedField name="EK"/>
      <deletedField name="PPN"/>
      <deletedField name="order_count"/>
      <deletedField name="c24shop_id"/>
      <deletedField name="seller_key"/>
      <deletedField name="status_order_shop"/>
      <deletedField name="canceled_source"/>
      <deletedField name="canceled_reason_key"/>
      <deletedField name="order_canceled_at"/>
      <deletedField name="commission_rate_category_id"/>
    </queryTableDeleted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70C93-C641-CD46-AE6B-CE8F555B8160}" name="Tabelle2" displayName="Tabelle2" ref="A3:E24" totalsRowShown="0" headerRowDxfId="29" headerRowBorderDxfId="31" tableBorderDxfId="32" totalsRowBorderDxfId="30">
  <autoFilter ref="A3:E24" xr:uid="{7E370C93-C641-CD46-AE6B-CE8F555B8160}"/>
  <tableColumns count="5">
    <tableColumn id="1" xr3:uid="{BAF28E99-2C1C-8540-8CE1-0F8F1AC629F3}" name="Monat"/>
    <tableColumn id="2" xr3:uid="{A4F45EF6-E78F-1047-812A-49F6D0C843DD}" name="Bestellpositionen"/>
    <tableColumn id="3" xr3:uid="{E5E5BB53-7E07-DD47-AB76-76AF9AA30EBB}" name="Umsatz (€)"/>
    <tableColumn id="4" xr3:uid="{0F4F8FA7-D4AC-F044-A442-6AB29EB551FC}" name="Ø Warenkorbwert (€)"/>
    <tableColumn id="5" xr3:uid="{AD0421DA-CD37-C747-B639-C8C68E56A993}" name="Ggü. Vormonat 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BF71045-732A-B74B-A555-F514AC0739DF}" name="Tabelle5" displayName="Tabelle5" ref="A44:E54" totalsRowShown="0" headerRowDxfId="23">
  <autoFilter ref="A44:E54" xr:uid="{EBF71045-732A-B74B-A555-F514AC0739DF}"/>
  <tableColumns count="5">
    <tableColumn id="1" xr3:uid="{7021168F-62C9-2D44-9D84-6A6439A1B6D7}" name="#" dataDxfId="28"/>
    <tableColumn id="2" xr3:uid="{8B2A5C72-6B52-6043-A470-472910902E20}" name="Kategorie" dataDxfId="27"/>
    <tableColumn id="3" xr3:uid="{C25B55E4-8D69-1E46-9684-568E49144878}" name="Bestellungen" dataDxfId="26" dataCellStyle="Währung"/>
    <tableColumn id="4" xr3:uid="{3482DAE6-F1B2-1B40-9FE9-34EAAE88887D}" name="Umsatz (€)" dataDxfId="25"/>
    <tableColumn id="5" xr3:uid="{8AEB4849-E1B0-0849-8C35-59CEEA730F1C}" name="Anteil am Gesamtumsatz" dataDxfId="24">
      <calculatedColumnFormula>C45/$C$25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C0FF0F-BCE0-7D44-AB29-AADD42278F5E}" name="Tabelle6" displayName="Tabelle6" ref="A29:E39" totalsRowShown="0" headerRowDxfId="17">
  <autoFilter ref="A29:E39" xr:uid="{62C0FF0F-BCE0-7D44-AB29-AADD42278F5E}"/>
  <tableColumns count="5">
    <tableColumn id="1" xr3:uid="{69ECE5C1-4CB8-AA40-AD34-66A06C908274}" name="#" dataDxfId="22"/>
    <tableColumn id="2" xr3:uid="{1B2586EC-8702-9648-A108-266561E3BD65}" name="CSIN" dataDxfId="21"/>
    <tableColumn id="3" xr3:uid="{E37964D5-CAEA-1941-BF5A-A6238840A81A}" name="Produkt" dataDxfId="20"/>
    <tableColumn id="4" xr3:uid="{5BB43790-3001-AA4B-B6AA-11C425BB86C8}" name="Stück" dataDxfId="19"/>
    <tableColumn id="5" xr3:uid="{7535899D-91D9-EF4C-A018-9C4317B9B637}" name="Umsatz" dataDxfId="18" dataCellStyle="Währu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DCC825-CB46-8748-BE9E-5C9BECE586A8}" name="Tabelle9" displayName="Tabelle9" ref="B14:F104" totalsRowShown="0" headerRowDxfId="12" headerRowBorderDxfId="15" tableBorderDxfId="16" totalsRowBorderDxfId="14">
  <autoFilter ref="B14:F104" xr:uid="{6FDCC825-CB46-8748-BE9E-5C9BECE586A8}"/>
  <sortState xmlns:xlrd2="http://schemas.microsoft.com/office/spreadsheetml/2017/richdata2" ref="B15:F104">
    <sortCondition ref="B14:B104"/>
  </sortState>
  <tableColumns count="5">
    <tableColumn id="1" xr3:uid="{450124BE-A80A-894D-8241-35DD4AA5DF69}" name="Datum" dataDxfId="13"/>
    <tableColumn id="2" xr3:uid="{2917BB80-F7E3-B74F-A9C8-B7ED2ACD2E1E}" name="Angebote" dataDxfId="11"/>
    <tableColumn id="3" xr3:uid="{4508001C-5BBC-434E-8DBD-49E843FA47E2}" name="Meta (%)" dataDxfId="10" dataCellStyle="Prozent"/>
    <tableColumn id="4" xr3:uid="{CA6222A7-80DD-0646-B0DD-091E966269AE}" name="Amazon (%)" dataDxfId="9" dataCellStyle="Prozent"/>
    <tableColumn id="5" xr3:uid="{88966B83-36FD-4D43-80FE-6BA74902229B}" name="OTTO (%)" dataDxfId="8" dataCellStyle="Proz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A905FD2-288A-174F-A37D-963C10834608}" name="Order_repriced" displayName="Order_repriced" ref="A1:K471" tableType="queryTable" totalsRowShown="0">
  <autoFilter ref="A1:K471" xr:uid="{1A905FD2-288A-174F-A37D-963C10834608}"/>
  <tableColumns count="11">
    <tableColumn id="1" xr3:uid="{4C65BC8A-BBE7-9F44-9626-513FB1D8C886}" uniqueName="1" name="order_created_at" queryTableFieldId="1" dataDxfId="7"/>
    <tableColumn id="2" xr3:uid="{BA1A723F-5F27-414D-AE11-D8C55D589CF2}" uniqueName="2" name="order_sent_at" queryTableFieldId="2" dataDxfId="6"/>
    <tableColumn id="3" xr3:uid="{67525F8A-6614-F34B-98B1-0315CF8E5F54}" uniqueName="3" name="order_transferred_to_shop_at" queryTableFieldId="3" dataDxfId="5"/>
    <tableColumn id="4" xr3:uid="{8963237B-FFAE-2049-9315-295676EDA525}" uniqueName="4" name="promised_last_delivery_date" queryTableFieldId="4" dataDxfId="4"/>
    <tableColumn id="5" xr3:uid="{BA43BED3-55A9-724D-B1F5-4737CCD47C93}" uniqueName="5" name="updated_at" queryTableFieldId="5" dataDxfId="3"/>
    <tableColumn id="6" xr3:uid="{57BA8723-1CCA-4A43-B857-4EA550915A65}" uniqueName="6" name="csin" queryTableFieldId="6" dataDxfId="2"/>
    <tableColumn id="7" xr3:uid="{EC5EA02F-AB2F-7543-A649-B1D0A3B93362}" uniqueName="7" name="gtin14" queryTableFieldId="7"/>
    <tableColumn id="8" xr3:uid="{05D44A89-52CD-B14E-9B47-4E6CB6050B48}" uniqueName="8" name="order_number" queryTableFieldId="8" dataDxfId="1"/>
    <tableColumn id="9" xr3:uid="{E5294884-A4FB-BC45-9CCD-EDDFA3398C75}" uniqueName="9" name="Titel" queryTableFieldId="9" dataDxfId="0"/>
    <tableColumn id="24" xr3:uid="{D2C2F859-E9F7-5448-8D1C-C590E4821A80}" uniqueName="24" name="is_c24_repriced_offer" queryTableFieldId="24"/>
    <tableColumn id="25" xr3:uid="{DF6E3D9B-1E14-FB44-A38C-66F1136A73D3}" uniqueName="25" name="is_seller_repriced_offer" queryTableField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showGridLines="0" tabSelected="1" zoomScale="125" zoomScaleNormal="90" workbookViewId="0">
      <pane xSplit="1" ySplit="1" topLeftCell="B11" activePane="bottomRight" state="frozen"/>
      <selection pane="topRight" activeCell="B1" sqref="B1"/>
      <selection pane="bottomLeft" activeCell="A4" sqref="A4"/>
      <selection pane="bottomRight" activeCell="C21" sqref="C21:D21"/>
    </sheetView>
  </sheetViews>
  <sheetFormatPr baseColWidth="10" defaultColWidth="8.6640625" defaultRowHeight="15" x14ac:dyDescent="0.2"/>
  <cols>
    <col min="1" max="1" width="28" customWidth="1"/>
    <col min="2" max="3" width="18" customWidth="1"/>
    <col min="4" max="4" width="14.5" customWidth="1"/>
    <col min="5" max="5" width="18.33203125" customWidth="1"/>
    <col min="6" max="6" width="13.1640625" customWidth="1"/>
    <col min="7" max="7" width="15" customWidth="1"/>
    <col min="8" max="9" width="13.5" customWidth="1"/>
  </cols>
  <sheetData>
    <row r="1" spans="1:9" ht="30" customHeight="1" x14ac:dyDescent="0.2">
      <c r="A1" s="2" t="s">
        <v>63</v>
      </c>
      <c r="B1" s="64" t="s">
        <v>73</v>
      </c>
      <c r="C1" s="64"/>
      <c r="D1" s="64"/>
      <c r="E1" s="64"/>
      <c r="F1" s="64"/>
      <c r="G1" s="64"/>
      <c r="H1" s="64"/>
      <c r="I1" s="64"/>
    </row>
    <row r="2" spans="1:9" ht="19.5" customHeight="1" x14ac:dyDescent="0.2">
      <c r="A2" s="95" t="s">
        <v>60</v>
      </c>
      <c r="B2" s="96"/>
      <c r="C2" s="96"/>
      <c r="D2" s="96"/>
      <c r="E2" s="96"/>
      <c r="F2" s="96"/>
      <c r="G2" s="96"/>
      <c r="H2" s="96"/>
      <c r="I2" s="96"/>
    </row>
    <row r="3" spans="1:9" ht="18" customHeight="1" x14ac:dyDescent="0.2">
      <c r="A3" s="97" t="s">
        <v>68</v>
      </c>
      <c r="B3" s="105" t="s">
        <v>73</v>
      </c>
      <c r="C3" s="106"/>
      <c r="D3" s="107"/>
      <c r="E3" s="101" t="s">
        <v>1</v>
      </c>
      <c r="F3" s="120">
        <v>45548</v>
      </c>
      <c r="G3" s="121"/>
      <c r="H3" s="121"/>
      <c r="I3" s="122"/>
    </row>
    <row r="4" spans="1:9" ht="18" customHeight="1" x14ac:dyDescent="0.2">
      <c r="A4" s="98" t="s">
        <v>67</v>
      </c>
      <c r="B4" s="108" t="s">
        <v>69</v>
      </c>
      <c r="C4" s="109"/>
      <c r="D4" s="110"/>
      <c r="E4" s="102" t="s">
        <v>0</v>
      </c>
      <c r="F4" s="108" t="s">
        <v>75</v>
      </c>
      <c r="G4" s="109"/>
      <c r="H4" s="109"/>
      <c r="I4" s="123"/>
    </row>
    <row r="5" spans="1:9" ht="18" customHeight="1" x14ac:dyDescent="0.2">
      <c r="A5" s="99" t="s">
        <v>70</v>
      </c>
      <c r="B5" s="111" t="s">
        <v>71</v>
      </c>
      <c r="C5" s="112"/>
      <c r="D5" s="113"/>
      <c r="E5" s="103" t="s">
        <v>2</v>
      </c>
      <c r="F5" s="130">
        <v>0.12</v>
      </c>
      <c r="G5" s="131"/>
      <c r="H5" s="131"/>
      <c r="I5" s="132"/>
    </row>
    <row r="6" spans="1:9" ht="18" customHeight="1" x14ac:dyDescent="0.2">
      <c r="A6" s="100" t="s">
        <v>3</v>
      </c>
      <c r="B6" s="114" t="s">
        <v>72</v>
      </c>
      <c r="C6" s="115"/>
      <c r="D6" s="116"/>
      <c r="E6" s="104" t="s">
        <v>4</v>
      </c>
      <c r="F6" s="124" t="s">
        <v>74</v>
      </c>
      <c r="G6" s="125"/>
      <c r="H6" s="125"/>
      <c r="I6" s="126"/>
    </row>
    <row r="7" spans="1:9" ht="18" customHeight="1" x14ac:dyDescent="0.2">
      <c r="A7" s="99" t="s">
        <v>82</v>
      </c>
      <c r="B7" s="117" t="s">
        <v>83</v>
      </c>
      <c r="C7" s="118"/>
      <c r="D7" s="119"/>
      <c r="E7" s="103" t="s">
        <v>86</v>
      </c>
      <c r="F7" s="127" t="s">
        <v>87</v>
      </c>
      <c r="G7" s="128"/>
      <c r="H7" s="128"/>
      <c r="I7" s="129"/>
    </row>
    <row r="8" spans="1:9" ht="18" customHeight="1" x14ac:dyDescent="0.2">
      <c r="A8" s="98" t="s">
        <v>84</v>
      </c>
      <c r="B8" s="108" t="s">
        <v>88</v>
      </c>
      <c r="C8" s="109"/>
      <c r="D8" s="110"/>
      <c r="E8" s="102" t="s">
        <v>80</v>
      </c>
      <c r="F8" s="108" t="s">
        <v>81</v>
      </c>
      <c r="G8" s="109"/>
      <c r="H8" s="109"/>
      <c r="I8" s="123"/>
    </row>
    <row r="9" spans="1:9" ht="18" customHeight="1" x14ac:dyDescent="0.2">
      <c r="A9" s="99" t="s">
        <v>85</v>
      </c>
      <c r="B9" s="117" t="s">
        <v>89</v>
      </c>
      <c r="C9" s="118"/>
      <c r="D9" s="119"/>
      <c r="E9" s="103" t="s">
        <v>66</v>
      </c>
      <c r="F9" s="127"/>
      <c r="G9" s="128"/>
      <c r="H9" s="128"/>
      <c r="I9" s="129"/>
    </row>
    <row r="10" spans="1:9" ht="13.5" customHeight="1" x14ac:dyDescent="0.2"/>
    <row r="11" spans="1:9" ht="19.5" customHeight="1" x14ac:dyDescent="0.2">
      <c r="A11" s="1" t="s">
        <v>76</v>
      </c>
      <c r="B11" s="52"/>
      <c r="C11" s="52"/>
      <c r="D11" s="52"/>
      <c r="E11" s="52"/>
      <c r="F11" s="52"/>
      <c r="G11" s="52"/>
      <c r="H11" s="52"/>
      <c r="I11" s="52"/>
    </row>
    <row r="12" spans="1:9" ht="27" customHeight="1" x14ac:dyDescent="0.2">
      <c r="A12" s="5" t="s">
        <v>59</v>
      </c>
      <c r="B12" s="5" t="s">
        <v>5</v>
      </c>
      <c r="C12" s="5" t="s">
        <v>6</v>
      </c>
      <c r="D12" s="5" t="s">
        <v>7</v>
      </c>
      <c r="E12" s="5" t="s">
        <v>77</v>
      </c>
      <c r="F12" s="5" t="s">
        <v>8</v>
      </c>
      <c r="G12" s="5" t="s">
        <v>12</v>
      </c>
      <c r="H12" s="5" t="s">
        <v>78</v>
      </c>
      <c r="I12" s="5" t="s">
        <v>79</v>
      </c>
    </row>
    <row r="13" spans="1:9" ht="21.75" customHeight="1" x14ac:dyDescent="0.2">
      <c r="A13" s="6">
        <v>2024</v>
      </c>
      <c r="B13" s="6">
        <v>11</v>
      </c>
      <c r="C13" s="62">
        <v>830.89</v>
      </c>
      <c r="D13" s="65">
        <v>9.0999999999999998E-2</v>
      </c>
      <c r="E13" s="63">
        <v>0</v>
      </c>
      <c r="F13" s="65">
        <v>0.2</v>
      </c>
      <c r="G13" s="63">
        <v>0</v>
      </c>
      <c r="H13" s="65">
        <v>0.36399999999999999</v>
      </c>
      <c r="I13" s="65">
        <v>0.36399999999999999</v>
      </c>
    </row>
    <row r="14" spans="1:9" ht="21.75" customHeight="1" x14ac:dyDescent="0.2">
      <c r="A14" s="6">
        <v>2025</v>
      </c>
      <c r="B14" s="6">
        <v>371</v>
      </c>
      <c r="C14" s="62">
        <v>50800</v>
      </c>
      <c r="D14" s="65">
        <v>5.0999999999999997E-2</v>
      </c>
      <c r="E14" s="63">
        <v>5.4000000000000003E-3</v>
      </c>
      <c r="F14" s="65">
        <v>0.108</v>
      </c>
      <c r="G14" s="63">
        <v>8.0000000000000002E-3</v>
      </c>
      <c r="H14" s="65">
        <v>0.16700000000000001</v>
      </c>
      <c r="I14" s="65">
        <v>0.189</v>
      </c>
    </row>
    <row r="15" spans="1:9" x14ac:dyDescent="0.2">
      <c r="A15" s="6">
        <v>2026</v>
      </c>
      <c r="B15" s="6">
        <v>446</v>
      </c>
      <c r="C15" s="62">
        <v>10500</v>
      </c>
      <c r="D15" s="65">
        <v>5.8000000000000003E-2</v>
      </c>
      <c r="E15" s="63">
        <v>0</v>
      </c>
      <c r="F15" s="65">
        <v>4.9000000000000002E-2</v>
      </c>
      <c r="G15" s="63">
        <v>0</v>
      </c>
      <c r="H15" s="65">
        <v>0.23</v>
      </c>
      <c r="I15" s="65">
        <v>0.24099999999999999</v>
      </c>
    </row>
    <row r="17" spans="1:5" x14ac:dyDescent="0.2">
      <c r="A17" s="10" t="s">
        <v>64</v>
      </c>
      <c r="B17" s="54"/>
      <c r="C17" s="11" t="s">
        <v>65</v>
      </c>
      <c r="D17" s="55"/>
    </row>
    <row r="18" spans="1:5" x14ac:dyDescent="0.2">
      <c r="A18" s="157" t="s">
        <v>418</v>
      </c>
      <c r="B18" s="158"/>
      <c r="C18" s="159" t="s">
        <v>79</v>
      </c>
      <c r="D18" s="160"/>
    </row>
    <row r="19" spans="1:5" x14ac:dyDescent="0.2">
      <c r="A19" s="161"/>
      <c r="B19" s="162"/>
      <c r="C19" s="163" t="s">
        <v>8</v>
      </c>
      <c r="D19" s="164"/>
    </row>
    <row r="20" spans="1:5" x14ac:dyDescent="0.2">
      <c r="A20" s="157"/>
      <c r="B20" s="158"/>
      <c r="C20" s="159" t="s">
        <v>419</v>
      </c>
      <c r="D20" s="160"/>
    </row>
    <row r="21" spans="1:5" ht="28" customHeight="1" x14ac:dyDescent="0.2">
      <c r="A21" s="161"/>
      <c r="B21" s="162"/>
      <c r="C21" s="163" t="s">
        <v>420</v>
      </c>
      <c r="D21" s="164"/>
    </row>
    <row r="22" spans="1:5" x14ac:dyDescent="0.2">
      <c r="A22" s="157"/>
      <c r="B22" s="158"/>
      <c r="C22" s="159"/>
      <c r="D22" s="160"/>
    </row>
    <row r="24" spans="1:5" x14ac:dyDescent="0.2">
      <c r="A24" s="156" t="s">
        <v>417</v>
      </c>
      <c r="B24" s="56"/>
      <c r="C24" s="56"/>
      <c r="D24" s="56"/>
      <c r="E24" s="56"/>
    </row>
    <row r="25" spans="1:5" x14ac:dyDescent="0.2">
      <c r="A25" s="12"/>
      <c r="B25" s="12"/>
      <c r="C25" s="12"/>
      <c r="D25" s="12"/>
      <c r="E25" s="12"/>
    </row>
    <row r="26" spans="1:5" x14ac:dyDescent="0.2">
      <c r="A26" s="12"/>
      <c r="B26" s="12"/>
      <c r="C26" s="12"/>
      <c r="D26" s="12"/>
      <c r="E26" s="12"/>
    </row>
    <row r="27" spans="1:5" x14ac:dyDescent="0.2">
      <c r="A27" s="12"/>
      <c r="B27" s="12"/>
      <c r="C27" s="12"/>
      <c r="D27" s="12"/>
      <c r="E27" s="12"/>
    </row>
  </sheetData>
  <mergeCells count="25">
    <mergeCell ref="C18:D18"/>
    <mergeCell ref="C19:D19"/>
    <mergeCell ref="C20:D20"/>
    <mergeCell ref="C21:D21"/>
    <mergeCell ref="C22:D22"/>
    <mergeCell ref="A18:B18"/>
    <mergeCell ref="A19:B19"/>
    <mergeCell ref="A20:B20"/>
    <mergeCell ref="A21:B21"/>
    <mergeCell ref="A22:B22"/>
    <mergeCell ref="B8:D8"/>
    <mergeCell ref="B9:D9"/>
    <mergeCell ref="F3:I3"/>
    <mergeCell ref="F4:I4"/>
    <mergeCell ref="F5:I5"/>
    <mergeCell ref="F6:I6"/>
    <mergeCell ref="F7:I7"/>
    <mergeCell ref="F8:I8"/>
    <mergeCell ref="F9:I9"/>
    <mergeCell ref="B1:I1"/>
    <mergeCell ref="B3:D3"/>
    <mergeCell ref="B4:D4"/>
    <mergeCell ref="B5:D5"/>
    <mergeCell ref="B6:D6"/>
    <mergeCell ref="B7:D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showGridLines="0" zoomScale="83" zoomScaleNormal="9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F18" sqref="F18"/>
    </sheetView>
  </sheetViews>
  <sheetFormatPr baseColWidth="10" defaultColWidth="8.6640625" defaultRowHeight="15" x14ac:dyDescent="0.2"/>
  <cols>
    <col min="1" max="1" width="9.5" customWidth="1"/>
    <col min="2" max="3" width="34" customWidth="1"/>
    <col min="4" max="4" width="20.6640625" customWidth="1"/>
    <col min="5" max="5" width="22.5" customWidth="1"/>
    <col min="6" max="6" width="20" customWidth="1"/>
    <col min="7" max="7" width="13.5" customWidth="1"/>
  </cols>
  <sheetData>
    <row r="1" spans="1:5" ht="36" customHeight="1" x14ac:dyDescent="0.2">
      <c r="A1" s="58" t="s">
        <v>15</v>
      </c>
      <c r="B1" s="58"/>
      <c r="C1" s="58"/>
      <c r="D1" s="58"/>
      <c r="E1" s="58"/>
    </row>
    <row r="2" spans="1:5" ht="16" customHeight="1" x14ac:dyDescent="0.2"/>
    <row r="3" spans="1:5" ht="21.75" customHeight="1" x14ac:dyDescent="0.2">
      <c r="A3" s="87" t="s">
        <v>16</v>
      </c>
      <c r="B3" s="88" t="s">
        <v>5</v>
      </c>
      <c r="C3" s="88" t="s">
        <v>6</v>
      </c>
      <c r="D3" s="88" t="s">
        <v>17</v>
      </c>
      <c r="E3" s="89" t="s">
        <v>18</v>
      </c>
    </row>
    <row r="4" spans="1:5" ht="18" customHeight="1" x14ac:dyDescent="0.2">
      <c r="A4" s="75">
        <v>45597</v>
      </c>
      <c r="B4" s="8">
        <v>2</v>
      </c>
      <c r="C4" s="67">
        <v>163.97</v>
      </c>
      <c r="D4" s="68">
        <v>81.99</v>
      </c>
      <c r="E4" s="81"/>
    </row>
    <row r="5" spans="1:5" ht="18" customHeight="1" x14ac:dyDescent="0.2">
      <c r="A5" s="76">
        <v>45627</v>
      </c>
      <c r="B5" s="9">
        <v>5</v>
      </c>
      <c r="C5" s="69">
        <v>517.95000000000005</v>
      </c>
      <c r="D5" s="70">
        <v>103.59</v>
      </c>
      <c r="E5" s="82"/>
    </row>
    <row r="6" spans="1:5" ht="18" customHeight="1" x14ac:dyDescent="0.2">
      <c r="A6" s="75">
        <v>45658</v>
      </c>
      <c r="B6" s="8">
        <v>4</v>
      </c>
      <c r="C6" s="67">
        <v>413.96</v>
      </c>
      <c r="D6" s="68">
        <v>103.49</v>
      </c>
      <c r="E6" s="81"/>
    </row>
    <row r="7" spans="1:5" ht="18" customHeight="1" x14ac:dyDescent="0.2">
      <c r="A7" s="76">
        <v>45689</v>
      </c>
      <c r="B7" s="9">
        <v>4</v>
      </c>
      <c r="C7" s="69">
        <v>231.96</v>
      </c>
      <c r="D7" s="70">
        <v>57.99</v>
      </c>
      <c r="E7" s="82"/>
    </row>
    <row r="8" spans="1:5" ht="18" customHeight="1" x14ac:dyDescent="0.2">
      <c r="A8" s="75">
        <v>45717</v>
      </c>
      <c r="B8" s="8">
        <v>8</v>
      </c>
      <c r="C8" s="67">
        <v>596.91</v>
      </c>
      <c r="D8" s="68">
        <v>74.61</v>
      </c>
      <c r="E8" s="81"/>
    </row>
    <row r="9" spans="1:5" ht="18" customHeight="1" x14ac:dyDescent="0.2">
      <c r="A9" s="76">
        <v>45748</v>
      </c>
      <c r="B9" s="9">
        <v>14</v>
      </c>
      <c r="C9" s="69">
        <v>863.86</v>
      </c>
      <c r="D9" s="70">
        <v>61.7</v>
      </c>
      <c r="E9" s="82"/>
    </row>
    <row r="10" spans="1:5" ht="18" customHeight="1" x14ac:dyDescent="0.2">
      <c r="A10" s="75">
        <v>45778</v>
      </c>
      <c r="B10" s="8">
        <v>6</v>
      </c>
      <c r="C10" s="67">
        <v>541.94000000000005</v>
      </c>
      <c r="D10" s="68">
        <v>90.32</v>
      </c>
      <c r="E10" s="81"/>
    </row>
    <row r="11" spans="1:5" ht="18" customHeight="1" x14ac:dyDescent="0.2">
      <c r="A11" s="76">
        <v>45809</v>
      </c>
      <c r="B11" s="9">
        <v>16</v>
      </c>
      <c r="C11" s="69">
        <v>2032.83</v>
      </c>
      <c r="D11" s="70">
        <v>127.05</v>
      </c>
      <c r="E11" s="82"/>
    </row>
    <row r="12" spans="1:5" ht="18" customHeight="1" x14ac:dyDescent="0.2">
      <c r="A12" s="75">
        <v>45839</v>
      </c>
      <c r="B12" s="8">
        <v>27</v>
      </c>
      <c r="C12" s="67">
        <v>3643.71</v>
      </c>
      <c r="D12" s="68">
        <v>134.94999999999999</v>
      </c>
      <c r="E12" s="81"/>
    </row>
    <row r="13" spans="1:5" ht="18" customHeight="1" x14ac:dyDescent="0.2">
      <c r="A13" s="77">
        <v>45870</v>
      </c>
      <c r="B13" s="66">
        <v>36</v>
      </c>
      <c r="C13" s="71">
        <v>6519.63</v>
      </c>
      <c r="D13" s="72">
        <v>181.1</v>
      </c>
      <c r="E13" s="83"/>
    </row>
    <row r="14" spans="1:5" ht="18" customHeight="1" x14ac:dyDescent="0.2">
      <c r="A14" s="78">
        <v>45901</v>
      </c>
      <c r="B14" s="6">
        <v>42</v>
      </c>
      <c r="C14" s="73">
        <v>5678.56</v>
      </c>
      <c r="D14" s="74">
        <v>135.19999999999999</v>
      </c>
      <c r="E14" s="84"/>
    </row>
    <row r="15" spans="1:5" ht="18" customHeight="1" x14ac:dyDescent="0.2">
      <c r="A15" s="77">
        <v>45931</v>
      </c>
      <c r="B15" s="66">
        <v>48</v>
      </c>
      <c r="C15" s="71">
        <v>7026.5</v>
      </c>
      <c r="D15" s="72">
        <v>146.38999999999999</v>
      </c>
      <c r="E15" s="83"/>
    </row>
    <row r="16" spans="1:5" ht="18" customHeight="1" x14ac:dyDescent="0.2">
      <c r="A16" s="78">
        <v>45962</v>
      </c>
      <c r="B16" s="6">
        <v>54</v>
      </c>
      <c r="C16" s="73">
        <v>8857.61</v>
      </c>
      <c r="D16" s="74">
        <v>164.03</v>
      </c>
      <c r="E16" s="84"/>
    </row>
    <row r="17" spans="1:11" ht="18" customHeight="1" x14ac:dyDescent="0.2">
      <c r="A17" s="77">
        <v>45992</v>
      </c>
      <c r="B17" s="66">
        <v>42</v>
      </c>
      <c r="C17" s="71">
        <v>5355.08</v>
      </c>
      <c r="D17" s="72">
        <v>127.5</v>
      </c>
      <c r="E17" s="83"/>
    </row>
    <row r="18" spans="1:11" ht="18" customHeight="1" x14ac:dyDescent="0.2">
      <c r="A18" s="78">
        <v>46023</v>
      </c>
      <c r="B18" s="6">
        <v>26</v>
      </c>
      <c r="C18" s="73">
        <v>3720.74</v>
      </c>
      <c r="D18" s="74">
        <v>143.11000000000001</v>
      </c>
      <c r="E18" s="84"/>
    </row>
    <row r="19" spans="1:11" ht="18" customHeight="1" x14ac:dyDescent="0.2">
      <c r="A19" s="77">
        <v>46054</v>
      </c>
      <c r="B19" s="66">
        <v>30</v>
      </c>
      <c r="C19" s="71">
        <v>3994.69</v>
      </c>
      <c r="D19" s="72">
        <v>133.16</v>
      </c>
      <c r="E19" s="83"/>
    </row>
    <row r="20" spans="1:11" ht="18" customHeight="1" x14ac:dyDescent="0.2">
      <c r="A20" s="78">
        <v>46082</v>
      </c>
      <c r="B20" s="6">
        <v>18</v>
      </c>
      <c r="C20" s="73">
        <v>1777.79</v>
      </c>
      <c r="D20" s="74">
        <v>98.77</v>
      </c>
      <c r="E20" s="84"/>
    </row>
    <row r="21" spans="1:11" ht="18" customHeight="1" x14ac:dyDescent="0.2">
      <c r="A21" s="79"/>
      <c r="B21" s="15"/>
      <c r="C21" s="16"/>
      <c r="D21" s="17"/>
      <c r="E21" s="85"/>
    </row>
    <row r="22" spans="1:11" ht="18" customHeight="1" x14ac:dyDescent="0.2">
      <c r="A22" s="80"/>
      <c r="B22" s="18"/>
      <c r="C22" s="19"/>
      <c r="D22" s="20"/>
      <c r="E22" s="86"/>
    </row>
    <row r="23" spans="1:11" ht="18" customHeight="1" x14ac:dyDescent="0.2">
      <c r="A23" s="79"/>
      <c r="B23" s="15"/>
      <c r="C23" s="16"/>
      <c r="D23" s="17"/>
      <c r="E23" s="85"/>
    </row>
    <row r="24" spans="1:11" ht="18" customHeight="1" x14ac:dyDescent="0.2">
      <c r="A24" s="90"/>
      <c r="B24" s="91"/>
      <c r="C24" s="92"/>
      <c r="D24" s="93"/>
      <c r="E24" s="94"/>
    </row>
    <row r="25" spans="1:11" ht="19.5" customHeight="1" x14ac:dyDescent="0.2">
      <c r="A25" s="21" t="s">
        <v>19</v>
      </c>
      <c r="B25" s="22">
        <f>SUM(B4:B24)</f>
        <v>382</v>
      </c>
      <c r="C25" s="23">
        <f>SUM(C4:C24)</f>
        <v>51937.69</v>
      </c>
      <c r="D25" s="23">
        <f t="shared" ref="D25" si="0">C25/B25</f>
        <v>135.9625392670157</v>
      </c>
      <c r="E25" s="24"/>
    </row>
    <row r="28" spans="1:11" ht="17" x14ac:dyDescent="0.2">
      <c r="A28" s="133" t="s">
        <v>20</v>
      </c>
      <c r="B28" s="133"/>
      <c r="C28" s="133"/>
      <c r="D28" s="133"/>
      <c r="E28" s="133"/>
      <c r="G28" s="180" t="s">
        <v>2058</v>
      </c>
      <c r="H28" s="180"/>
      <c r="I28" s="180"/>
      <c r="J28" s="180"/>
      <c r="K28" s="180"/>
    </row>
    <row r="29" spans="1:11" x14ac:dyDescent="0.2">
      <c r="A29" s="25" t="s">
        <v>21</v>
      </c>
      <c r="B29" s="25" t="s">
        <v>121</v>
      </c>
      <c r="C29" s="25" t="s">
        <v>22</v>
      </c>
      <c r="D29" s="25" t="s">
        <v>122</v>
      </c>
      <c r="E29" s="25" t="s">
        <v>123</v>
      </c>
      <c r="G29" s="166" t="s">
        <v>21</v>
      </c>
      <c r="H29" s="167" t="s">
        <v>55</v>
      </c>
      <c r="I29" s="167"/>
      <c r="J29" s="167" t="s">
        <v>2062</v>
      </c>
      <c r="K29" s="168"/>
    </row>
    <row r="30" spans="1:11" x14ac:dyDescent="0.2">
      <c r="A30" s="26">
        <v>1</v>
      </c>
      <c r="B30" s="27" t="s">
        <v>91</v>
      </c>
      <c r="C30" s="28" t="s">
        <v>92</v>
      </c>
      <c r="D30" s="137">
        <v>5</v>
      </c>
      <c r="E30" s="135">
        <v>1264.95</v>
      </c>
      <c r="G30" s="169" t="s">
        <v>2059</v>
      </c>
      <c r="H30" s="171">
        <f>B25</f>
        <v>382</v>
      </c>
      <c r="I30" s="171"/>
      <c r="J30" s="177"/>
      <c r="K30" s="172"/>
    </row>
    <row r="31" spans="1:11" x14ac:dyDescent="0.2">
      <c r="A31" s="31">
        <v>2</v>
      </c>
      <c r="B31" s="32" t="s">
        <v>93</v>
      </c>
      <c r="C31" s="33" t="s">
        <v>94</v>
      </c>
      <c r="D31" s="138">
        <v>3</v>
      </c>
      <c r="E31" s="136">
        <v>951.97</v>
      </c>
      <c r="G31" s="173" t="s">
        <v>2060</v>
      </c>
      <c r="H31" s="174">
        <f>COUNTIF(Order_repriced!J:J,"1")</f>
        <v>117</v>
      </c>
      <c r="I31" s="176"/>
      <c r="J31" s="176">
        <v>0.30628272251308902</v>
      </c>
      <c r="K31" s="175"/>
    </row>
    <row r="32" spans="1:11" x14ac:dyDescent="0.2">
      <c r="A32" s="26">
        <v>3</v>
      </c>
      <c r="B32" s="27" t="s">
        <v>95</v>
      </c>
      <c r="C32" s="28" t="s">
        <v>96</v>
      </c>
      <c r="D32" s="137">
        <v>1</v>
      </c>
      <c r="E32" s="135">
        <v>946.99</v>
      </c>
      <c r="G32" s="169" t="s">
        <v>2061</v>
      </c>
      <c r="H32" s="170">
        <f>COUNTIF(Order_repriced!K:K,"1")</f>
        <v>11</v>
      </c>
      <c r="I32" s="177"/>
      <c r="J32" s="177">
        <v>2.8795811518324606E-2</v>
      </c>
      <c r="K32" s="172"/>
    </row>
    <row r="33" spans="1:11" x14ac:dyDescent="0.2">
      <c r="A33" s="31">
        <v>4</v>
      </c>
      <c r="B33" s="32" t="s">
        <v>97</v>
      </c>
      <c r="C33" s="33" t="s">
        <v>98</v>
      </c>
      <c r="D33" s="138">
        <v>5</v>
      </c>
      <c r="E33" s="136">
        <v>884.95</v>
      </c>
      <c r="G33" s="178" t="s">
        <v>2063</v>
      </c>
      <c r="H33" s="178"/>
      <c r="I33" s="178"/>
      <c r="J33" s="179">
        <f>J31+J32</f>
        <v>0.33507853403141363</v>
      </c>
      <c r="K33" s="36"/>
    </row>
    <row r="34" spans="1:11" x14ac:dyDescent="0.2">
      <c r="A34" s="26">
        <v>5</v>
      </c>
      <c r="B34" s="27" t="s">
        <v>99</v>
      </c>
      <c r="C34" s="28" t="s">
        <v>100</v>
      </c>
      <c r="D34" s="137">
        <v>1</v>
      </c>
      <c r="E34" s="135">
        <v>791.99</v>
      </c>
    </row>
    <row r="35" spans="1:11" x14ac:dyDescent="0.2">
      <c r="A35" s="31">
        <v>6</v>
      </c>
      <c r="B35" s="32" t="s">
        <v>101</v>
      </c>
      <c r="C35" s="33" t="s">
        <v>102</v>
      </c>
      <c r="D35" s="138">
        <v>2</v>
      </c>
      <c r="E35" s="136">
        <v>777.98</v>
      </c>
    </row>
    <row r="36" spans="1:11" x14ac:dyDescent="0.2">
      <c r="A36" s="26">
        <v>7</v>
      </c>
      <c r="B36" s="27" t="s">
        <v>103</v>
      </c>
      <c r="C36" s="28" t="s">
        <v>104</v>
      </c>
      <c r="D36" s="137">
        <v>3</v>
      </c>
      <c r="E36" s="135">
        <v>752.87</v>
      </c>
    </row>
    <row r="37" spans="1:11" x14ac:dyDescent="0.2">
      <c r="A37" s="31">
        <v>8</v>
      </c>
      <c r="B37" s="32" t="s">
        <v>105</v>
      </c>
      <c r="C37" s="33" t="s">
        <v>106</v>
      </c>
      <c r="D37" s="138">
        <v>3</v>
      </c>
      <c r="E37" s="136">
        <v>729.97</v>
      </c>
    </row>
    <row r="38" spans="1:11" x14ac:dyDescent="0.2">
      <c r="A38" s="26">
        <v>9</v>
      </c>
      <c r="B38" s="27" t="s">
        <v>107</v>
      </c>
      <c r="C38" s="28" t="s">
        <v>108</v>
      </c>
      <c r="D38" s="137">
        <v>1</v>
      </c>
      <c r="E38" s="135">
        <v>688.99</v>
      </c>
    </row>
    <row r="39" spans="1:11" x14ac:dyDescent="0.2">
      <c r="A39" s="31">
        <v>10</v>
      </c>
      <c r="B39" s="32" t="s">
        <v>109</v>
      </c>
      <c r="C39" s="33" t="s">
        <v>110</v>
      </c>
      <c r="D39" s="138">
        <v>2</v>
      </c>
      <c r="E39" s="136">
        <v>631.98</v>
      </c>
    </row>
    <row r="40" spans="1:11" x14ac:dyDescent="0.2">
      <c r="A40" s="59" t="s">
        <v>24</v>
      </c>
      <c r="B40" s="59"/>
      <c r="C40" s="59"/>
      <c r="D40" s="35">
        <f>SUM(D30:D39)</f>
        <v>26</v>
      </c>
      <c r="E40" s="36">
        <f>SUM(E30:E39)</f>
        <v>8422.64</v>
      </c>
    </row>
    <row r="43" spans="1:11" ht="17" x14ac:dyDescent="0.2">
      <c r="A43" s="57" t="s">
        <v>25</v>
      </c>
      <c r="B43" s="57"/>
      <c r="C43" s="57"/>
      <c r="D43" s="57"/>
      <c r="E43" s="57"/>
    </row>
    <row r="44" spans="1:11" ht="28" x14ac:dyDescent="0.2">
      <c r="A44" s="25" t="s">
        <v>21</v>
      </c>
      <c r="B44" s="25" t="s">
        <v>26</v>
      </c>
      <c r="C44" s="25" t="s">
        <v>27</v>
      </c>
      <c r="D44" s="25" t="s">
        <v>6</v>
      </c>
      <c r="E44" s="25" t="s">
        <v>23</v>
      </c>
    </row>
    <row r="45" spans="1:11" x14ac:dyDescent="0.2">
      <c r="A45" s="26">
        <v>1</v>
      </c>
      <c r="B45" s="27" t="s">
        <v>124</v>
      </c>
      <c r="C45" s="135">
        <v>13689.27</v>
      </c>
      <c r="D45" s="29">
        <v>63</v>
      </c>
      <c r="E45" s="30">
        <f>C45/$C$25</f>
        <v>0.26357102135270166</v>
      </c>
    </row>
    <row r="46" spans="1:11" x14ac:dyDescent="0.2">
      <c r="A46" s="31">
        <v>2</v>
      </c>
      <c r="B46" s="32" t="s">
        <v>125</v>
      </c>
      <c r="C46" s="136">
        <v>10618.57</v>
      </c>
      <c r="D46" s="34">
        <v>43</v>
      </c>
      <c r="E46" s="30">
        <f>C46/$C$25</f>
        <v>0.20444825328196151</v>
      </c>
      <c r="F46"/>
    </row>
    <row r="47" spans="1:11" x14ac:dyDescent="0.2">
      <c r="A47" s="26">
        <v>3</v>
      </c>
      <c r="B47" s="27" t="s">
        <v>126</v>
      </c>
      <c r="C47" s="135">
        <v>2124.77</v>
      </c>
      <c r="D47" s="29">
        <v>43</v>
      </c>
      <c r="E47" s="30">
        <f>C47/$C$25</f>
        <v>4.09099827119766E-2</v>
      </c>
      <c r="F47"/>
    </row>
    <row r="48" spans="1:11" x14ac:dyDescent="0.2">
      <c r="A48" s="31">
        <v>4</v>
      </c>
      <c r="B48" s="32" t="s">
        <v>127</v>
      </c>
      <c r="C48" s="136">
        <v>1416.98</v>
      </c>
      <c r="D48" s="34">
        <v>2</v>
      </c>
      <c r="E48" s="30">
        <f>C48/$C$25</f>
        <v>2.7282306933558268E-2</v>
      </c>
      <c r="F48"/>
    </row>
    <row r="49" spans="1:6" x14ac:dyDescent="0.2">
      <c r="A49" s="26">
        <v>5</v>
      </c>
      <c r="B49" s="27" t="s">
        <v>128</v>
      </c>
      <c r="C49" s="135">
        <v>1413.86</v>
      </c>
      <c r="D49" s="29">
        <v>14</v>
      </c>
      <c r="E49" s="30">
        <f>C49/$C$25</f>
        <v>2.7222234951150115E-2</v>
      </c>
      <c r="F49"/>
    </row>
    <row r="50" spans="1:6" x14ac:dyDescent="0.2">
      <c r="A50" s="31">
        <v>6</v>
      </c>
      <c r="B50" s="32" t="s">
        <v>129</v>
      </c>
      <c r="C50" s="136">
        <v>1228.93</v>
      </c>
      <c r="D50" s="34">
        <v>7</v>
      </c>
      <c r="E50" s="30">
        <f>C50/$C$25</f>
        <v>2.3661622224631092E-2</v>
      </c>
      <c r="F50"/>
    </row>
    <row r="51" spans="1:6" x14ac:dyDescent="0.2">
      <c r="A51" s="26">
        <v>7</v>
      </c>
      <c r="B51" s="27" t="s">
        <v>130</v>
      </c>
      <c r="C51" s="135">
        <v>1028.92</v>
      </c>
      <c r="D51" s="29">
        <v>8</v>
      </c>
      <c r="E51" s="30">
        <f>C51/$C$25</f>
        <v>1.9810661583139336E-2</v>
      </c>
      <c r="F51"/>
    </row>
    <row r="52" spans="1:6" x14ac:dyDescent="0.2">
      <c r="A52" s="31">
        <v>8</v>
      </c>
      <c r="B52" s="32" t="s">
        <v>131</v>
      </c>
      <c r="C52" s="136">
        <v>930.93</v>
      </c>
      <c r="D52" s="34">
        <v>7</v>
      </c>
      <c r="E52" s="30">
        <f>C52/$C$25</f>
        <v>1.7923977751032053E-2</v>
      </c>
      <c r="F52"/>
    </row>
    <row r="53" spans="1:6" x14ac:dyDescent="0.2">
      <c r="A53" s="26">
        <v>9</v>
      </c>
      <c r="B53" s="27" t="s">
        <v>132</v>
      </c>
      <c r="C53" s="135">
        <v>891.78</v>
      </c>
      <c r="D53" s="29">
        <v>22</v>
      </c>
      <c r="E53" s="30">
        <f>C53/$C$25</f>
        <v>1.717018989485285E-2</v>
      </c>
      <c r="F53"/>
    </row>
    <row r="54" spans="1:6" x14ac:dyDescent="0.2">
      <c r="A54" s="31">
        <v>10</v>
      </c>
      <c r="B54" s="32" t="s">
        <v>133</v>
      </c>
      <c r="C54" s="136">
        <v>866.9</v>
      </c>
      <c r="D54" s="34">
        <v>10</v>
      </c>
      <c r="E54" s="30">
        <f>C54/$C$25</f>
        <v>1.6691154342828876E-2</v>
      </c>
      <c r="F54"/>
    </row>
    <row r="55" spans="1:6" x14ac:dyDescent="0.2">
      <c r="A55" s="59" t="s">
        <v>28</v>
      </c>
      <c r="B55" s="59"/>
      <c r="C55" s="59"/>
      <c r="D55" s="35">
        <f>SUM(D45:D54)</f>
        <v>219</v>
      </c>
      <c r="E55" s="36">
        <f>SUM(E45:E54)</f>
        <v>0.6586914050278323</v>
      </c>
    </row>
  </sheetData>
  <mergeCells count="5">
    <mergeCell ref="G28:K28"/>
    <mergeCell ref="A1:E1"/>
    <mergeCell ref="A40:C40"/>
    <mergeCell ref="A55:C55"/>
    <mergeCell ref="A28:E28"/>
  </mergeCells>
  <pageMargins left="0.75" right="0.75" top="1" bottom="1" header="0.511811023622047" footer="0.511811023622047"/>
  <pageSetup paperSize="9" orientation="portrait" horizontalDpi="300" verticalDpi="300"/>
  <drawing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04"/>
  <sheetViews>
    <sheetView showGridLines="0" zoomScale="91" zoomScaleNormal="69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49" sqref="I49"/>
    </sheetView>
  </sheetViews>
  <sheetFormatPr baseColWidth="10" defaultColWidth="8.6640625" defaultRowHeight="15" x14ac:dyDescent="0.2"/>
  <cols>
    <col min="1" max="1" width="2" customWidth="1"/>
    <col min="2" max="2" width="29.6640625" customWidth="1"/>
    <col min="3" max="3" width="18" customWidth="1"/>
    <col min="4" max="6" width="16" customWidth="1"/>
    <col min="7" max="7" width="2" customWidth="1"/>
  </cols>
  <sheetData>
    <row r="1" spans="2:8" ht="7.5" customHeight="1" x14ac:dyDescent="0.2"/>
    <row r="2" spans="2:8" ht="36" customHeight="1" x14ac:dyDescent="0.2">
      <c r="B2" s="58" t="s">
        <v>29</v>
      </c>
      <c r="C2" s="58"/>
      <c r="D2" s="58"/>
      <c r="E2" s="58"/>
      <c r="F2" s="58"/>
    </row>
    <row r="3" spans="2:8" ht="7.5" customHeight="1" x14ac:dyDescent="0.2"/>
    <row r="4" spans="2:8" ht="20" customHeight="1" x14ac:dyDescent="0.2">
      <c r="B4" s="60" t="s">
        <v>61</v>
      </c>
      <c r="C4" s="60"/>
      <c r="D4" s="60"/>
      <c r="E4" s="60"/>
      <c r="F4" s="60"/>
    </row>
    <row r="5" spans="2:8" ht="18" customHeight="1" x14ac:dyDescent="0.2">
      <c r="B5" s="7" t="s">
        <v>9</v>
      </c>
      <c r="C5" s="7" t="s">
        <v>30</v>
      </c>
      <c r="D5" s="7"/>
      <c r="E5" s="61"/>
      <c r="F5" s="61"/>
    </row>
    <row r="6" spans="2:8" ht="18" customHeight="1" x14ac:dyDescent="0.2">
      <c r="B6" s="3" t="s">
        <v>32</v>
      </c>
      <c r="C6" s="141">
        <v>0</v>
      </c>
      <c r="D6" s="8"/>
      <c r="E6" s="8"/>
      <c r="F6" s="8"/>
    </row>
    <row r="7" spans="2:8" ht="18" customHeight="1" x14ac:dyDescent="0.2">
      <c r="B7" s="4" t="s">
        <v>33</v>
      </c>
      <c r="C7" s="142">
        <v>0.99960000000000004</v>
      </c>
      <c r="D7" s="9"/>
      <c r="E7" s="9"/>
      <c r="F7" s="9"/>
    </row>
    <row r="8" spans="2:8" ht="18" customHeight="1" x14ac:dyDescent="0.2">
      <c r="B8" s="3" t="s">
        <v>34</v>
      </c>
      <c r="C8" s="141">
        <v>0</v>
      </c>
      <c r="D8" s="8"/>
      <c r="E8" s="8"/>
      <c r="F8" s="8"/>
    </row>
    <row r="9" spans="2:8" ht="18" customHeight="1" x14ac:dyDescent="0.2">
      <c r="B9" s="4" t="s">
        <v>35</v>
      </c>
      <c r="C9" s="142">
        <v>0</v>
      </c>
      <c r="D9" s="9"/>
      <c r="E9" s="9"/>
      <c r="F9" s="9"/>
    </row>
    <row r="10" spans="2:8" ht="18" customHeight="1" x14ac:dyDescent="0.2">
      <c r="B10" s="3" t="s">
        <v>36</v>
      </c>
      <c r="C10" s="141">
        <v>0</v>
      </c>
      <c r="D10" s="8"/>
      <c r="E10" s="8"/>
      <c r="F10" s="8"/>
    </row>
    <row r="11" spans="2:8" ht="18" customHeight="1" x14ac:dyDescent="0.2">
      <c r="B11" s="4" t="s">
        <v>37</v>
      </c>
      <c r="C11" s="142">
        <v>4.0000000000000002E-4</v>
      </c>
      <c r="D11" s="9"/>
      <c r="E11" s="9"/>
      <c r="F11" s="9"/>
    </row>
    <row r="13" spans="2:8" ht="19.5" customHeight="1" x14ac:dyDescent="0.2">
      <c r="B13" s="60" t="s">
        <v>38</v>
      </c>
      <c r="C13" s="60"/>
      <c r="D13" s="60"/>
      <c r="E13" s="60"/>
      <c r="F13" s="60"/>
    </row>
    <row r="14" spans="2:8" ht="18" customHeight="1" x14ac:dyDescent="0.2">
      <c r="B14" s="88" t="s">
        <v>39</v>
      </c>
      <c r="C14" s="88" t="s">
        <v>40</v>
      </c>
      <c r="D14" s="149" t="s">
        <v>41</v>
      </c>
      <c r="E14" s="88" t="s">
        <v>42</v>
      </c>
      <c r="F14" s="88" t="s">
        <v>43</v>
      </c>
    </row>
    <row r="15" spans="2:8" ht="15.75" customHeight="1" x14ac:dyDescent="0.2">
      <c r="B15" s="145">
        <v>46005</v>
      </c>
      <c r="C15" s="140">
        <v>4682</v>
      </c>
      <c r="D15" s="150">
        <v>0</v>
      </c>
      <c r="E15" s="150">
        <v>0</v>
      </c>
      <c r="F15" s="153">
        <v>0</v>
      </c>
      <c r="H15" s="148"/>
    </row>
    <row r="16" spans="2:8" ht="15.75" customHeight="1" x14ac:dyDescent="0.2">
      <c r="B16" s="145">
        <v>46006</v>
      </c>
      <c r="C16" s="139">
        <v>4682</v>
      </c>
      <c r="D16" s="151">
        <v>0</v>
      </c>
      <c r="E16" s="151">
        <v>0</v>
      </c>
      <c r="F16" s="154">
        <v>0</v>
      </c>
      <c r="H16" s="148"/>
    </row>
    <row r="17" spans="2:8" ht="15.75" customHeight="1" x14ac:dyDescent="0.2">
      <c r="B17" s="145">
        <v>46007</v>
      </c>
      <c r="C17" s="140">
        <v>4679</v>
      </c>
      <c r="D17" s="150">
        <v>0</v>
      </c>
      <c r="E17" s="150">
        <v>0</v>
      </c>
      <c r="F17" s="153">
        <v>0</v>
      </c>
      <c r="H17" s="148"/>
    </row>
    <row r="18" spans="2:8" ht="15.75" customHeight="1" x14ac:dyDescent="0.2">
      <c r="B18" s="145">
        <v>46008</v>
      </c>
      <c r="C18" s="139">
        <v>4866</v>
      </c>
      <c r="D18" s="151">
        <v>0</v>
      </c>
      <c r="E18" s="151">
        <v>0</v>
      </c>
      <c r="F18" s="154">
        <v>0</v>
      </c>
      <c r="H18" s="148"/>
    </row>
    <row r="19" spans="2:8" ht="15.75" customHeight="1" x14ac:dyDescent="0.2">
      <c r="B19" s="145">
        <v>46009</v>
      </c>
      <c r="C19" s="140">
        <v>4949</v>
      </c>
      <c r="D19" s="150">
        <v>0</v>
      </c>
      <c r="E19" s="150">
        <v>0</v>
      </c>
      <c r="F19" s="153">
        <v>0</v>
      </c>
      <c r="H19" s="148"/>
    </row>
    <row r="20" spans="2:8" ht="15.75" customHeight="1" x14ac:dyDescent="0.2">
      <c r="B20" s="145">
        <v>46010</v>
      </c>
      <c r="C20" s="139">
        <v>4886</v>
      </c>
      <c r="D20" s="151">
        <v>0</v>
      </c>
      <c r="E20" s="151">
        <v>0</v>
      </c>
      <c r="F20" s="154">
        <v>0</v>
      </c>
      <c r="H20" s="148"/>
    </row>
    <row r="21" spans="2:8" ht="15.75" customHeight="1" x14ac:dyDescent="0.2">
      <c r="B21" s="145">
        <v>46011</v>
      </c>
      <c r="C21" s="140">
        <v>4985</v>
      </c>
      <c r="D21" s="150">
        <v>0</v>
      </c>
      <c r="E21" s="150">
        <v>0</v>
      </c>
      <c r="F21" s="153">
        <v>0</v>
      </c>
      <c r="H21" s="148"/>
    </row>
    <row r="22" spans="2:8" ht="15.75" customHeight="1" x14ac:dyDescent="0.2">
      <c r="B22" s="145">
        <v>46012</v>
      </c>
      <c r="C22" s="139">
        <v>4874</v>
      </c>
      <c r="D22" s="151">
        <v>0</v>
      </c>
      <c r="E22" s="151">
        <v>0</v>
      </c>
      <c r="F22" s="154">
        <v>0</v>
      </c>
      <c r="H22" s="148"/>
    </row>
    <row r="23" spans="2:8" ht="15.75" customHeight="1" x14ac:dyDescent="0.2">
      <c r="B23" s="145">
        <v>46013</v>
      </c>
      <c r="C23" s="140">
        <v>5004</v>
      </c>
      <c r="D23" s="150">
        <v>0</v>
      </c>
      <c r="E23" s="150">
        <v>0</v>
      </c>
      <c r="F23" s="153">
        <v>0</v>
      </c>
      <c r="H23" s="148"/>
    </row>
    <row r="24" spans="2:8" ht="15.75" customHeight="1" x14ac:dyDescent="0.2">
      <c r="B24" s="145">
        <v>46014</v>
      </c>
      <c r="C24" s="139">
        <v>4889</v>
      </c>
      <c r="D24" s="151">
        <v>0</v>
      </c>
      <c r="E24" s="151">
        <v>0</v>
      </c>
      <c r="F24" s="154">
        <v>0</v>
      </c>
      <c r="H24" s="148"/>
    </row>
    <row r="25" spans="2:8" ht="15.75" customHeight="1" x14ac:dyDescent="0.2">
      <c r="B25" s="145">
        <v>46015</v>
      </c>
      <c r="C25" s="140">
        <v>4828</v>
      </c>
      <c r="D25" s="150">
        <v>0</v>
      </c>
      <c r="E25" s="150">
        <v>0</v>
      </c>
      <c r="F25" s="153">
        <v>0</v>
      </c>
      <c r="H25" s="148"/>
    </row>
    <row r="26" spans="2:8" ht="15.75" customHeight="1" x14ac:dyDescent="0.2">
      <c r="B26" s="145">
        <v>46016</v>
      </c>
      <c r="C26" s="139">
        <v>4923</v>
      </c>
      <c r="D26" s="151">
        <v>0</v>
      </c>
      <c r="E26" s="151">
        <v>0</v>
      </c>
      <c r="F26" s="154">
        <v>0</v>
      </c>
      <c r="H26" s="148"/>
    </row>
    <row r="27" spans="2:8" ht="15.75" customHeight="1" x14ac:dyDescent="0.2">
      <c r="B27" s="145">
        <v>46017</v>
      </c>
      <c r="C27" s="140">
        <v>4873</v>
      </c>
      <c r="D27" s="150">
        <v>0</v>
      </c>
      <c r="E27" s="150">
        <v>0</v>
      </c>
      <c r="F27" s="153">
        <v>0</v>
      </c>
      <c r="H27" s="148"/>
    </row>
    <row r="28" spans="2:8" ht="15.75" customHeight="1" x14ac:dyDescent="0.2">
      <c r="B28" s="145">
        <v>46018</v>
      </c>
      <c r="C28" s="139">
        <v>4937</v>
      </c>
      <c r="D28" s="151">
        <v>0</v>
      </c>
      <c r="E28" s="151">
        <v>0</v>
      </c>
      <c r="F28" s="154">
        <v>0</v>
      </c>
      <c r="H28" s="148"/>
    </row>
    <row r="29" spans="2:8" ht="15.75" customHeight="1" x14ac:dyDescent="0.2">
      <c r="B29" s="145">
        <v>46019</v>
      </c>
      <c r="C29" s="140">
        <v>4883</v>
      </c>
      <c r="D29" s="150">
        <v>0</v>
      </c>
      <c r="E29" s="150">
        <v>0</v>
      </c>
      <c r="F29" s="153">
        <v>0</v>
      </c>
      <c r="H29" s="148"/>
    </row>
    <row r="30" spans="2:8" ht="15.75" customHeight="1" x14ac:dyDescent="0.2">
      <c r="B30" s="145">
        <v>46020</v>
      </c>
      <c r="C30" s="139">
        <v>4903</v>
      </c>
      <c r="D30" s="151">
        <v>0</v>
      </c>
      <c r="E30" s="151">
        <v>0</v>
      </c>
      <c r="F30" s="154">
        <v>0</v>
      </c>
      <c r="H30" s="148"/>
    </row>
    <row r="31" spans="2:8" ht="15.75" customHeight="1" x14ac:dyDescent="0.2">
      <c r="B31" s="145">
        <v>46021</v>
      </c>
      <c r="C31" s="140">
        <v>4934</v>
      </c>
      <c r="D31" s="150">
        <v>0</v>
      </c>
      <c r="E31" s="150">
        <v>0</v>
      </c>
      <c r="F31" s="153">
        <v>0</v>
      </c>
      <c r="H31" s="148"/>
    </row>
    <row r="32" spans="2:8" ht="15.75" customHeight="1" x14ac:dyDescent="0.2">
      <c r="B32" s="145">
        <v>46022</v>
      </c>
      <c r="C32" s="139">
        <v>4899</v>
      </c>
      <c r="D32" s="151">
        <v>0</v>
      </c>
      <c r="E32" s="151">
        <v>0</v>
      </c>
      <c r="F32" s="154">
        <v>0</v>
      </c>
      <c r="H32" s="148"/>
    </row>
    <row r="33" spans="2:9" ht="15.75" customHeight="1" x14ac:dyDescent="0.2">
      <c r="B33" s="145">
        <v>46023</v>
      </c>
      <c r="C33" s="140">
        <v>4877</v>
      </c>
      <c r="D33" s="150">
        <v>0</v>
      </c>
      <c r="E33" s="150">
        <v>0</v>
      </c>
      <c r="F33" s="153">
        <v>0</v>
      </c>
      <c r="H33" s="148"/>
    </row>
    <row r="34" spans="2:9" ht="15.75" customHeight="1" x14ac:dyDescent="0.2">
      <c r="B34" s="145">
        <v>46024</v>
      </c>
      <c r="C34" s="139">
        <v>4763</v>
      </c>
      <c r="D34" s="151">
        <v>0</v>
      </c>
      <c r="E34" s="151">
        <v>0</v>
      </c>
      <c r="F34" s="154">
        <v>0</v>
      </c>
      <c r="H34" s="148"/>
    </row>
    <row r="35" spans="2:9" ht="15.75" customHeight="1" x14ac:dyDescent="0.2">
      <c r="B35" s="145">
        <v>46025</v>
      </c>
      <c r="C35" s="140">
        <v>4859</v>
      </c>
      <c r="D35" s="150">
        <v>0</v>
      </c>
      <c r="E35" s="150">
        <v>0</v>
      </c>
      <c r="F35" s="153">
        <v>0</v>
      </c>
      <c r="H35" s="148"/>
    </row>
    <row r="36" spans="2:9" ht="15.75" customHeight="1" x14ac:dyDescent="0.2">
      <c r="B36" s="145">
        <v>46026</v>
      </c>
      <c r="C36" s="139">
        <v>4935</v>
      </c>
      <c r="D36" s="151">
        <v>0</v>
      </c>
      <c r="E36" s="151">
        <v>0</v>
      </c>
      <c r="F36" s="154">
        <v>0</v>
      </c>
      <c r="H36" s="148"/>
    </row>
    <row r="37" spans="2:9" ht="15.75" customHeight="1" x14ac:dyDescent="0.2">
      <c r="B37" s="145">
        <v>46027</v>
      </c>
      <c r="C37" s="140">
        <v>4934</v>
      </c>
      <c r="D37" s="150">
        <v>0</v>
      </c>
      <c r="E37" s="150">
        <v>0</v>
      </c>
      <c r="F37" s="153">
        <v>0</v>
      </c>
      <c r="H37" s="148"/>
    </row>
    <row r="38" spans="2:9" ht="15.75" customHeight="1" x14ac:dyDescent="0.2">
      <c r="B38" s="145">
        <v>46028</v>
      </c>
      <c r="C38" s="139">
        <v>4895</v>
      </c>
      <c r="D38" s="151">
        <v>0</v>
      </c>
      <c r="E38" s="151">
        <v>0</v>
      </c>
      <c r="F38" s="154">
        <v>0</v>
      </c>
      <c r="H38" s="148"/>
    </row>
    <row r="39" spans="2:9" ht="15.75" customHeight="1" x14ac:dyDescent="0.2">
      <c r="B39" s="145">
        <v>46029</v>
      </c>
      <c r="C39" s="140">
        <v>4931</v>
      </c>
      <c r="D39" s="150">
        <v>0</v>
      </c>
      <c r="E39" s="150">
        <v>0</v>
      </c>
      <c r="F39" s="153">
        <v>0</v>
      </c>
      <c r="H39" s="148"/>
    </row>
    <row r="40" spans="2:9" ht="15.75" customHeight="1" x14ac:dyDescent="0.2">
      <c r="B40" s="145">
        <v>46030</v>
      </c>
      <c r="C40" s="139">
        <v>4902</v>
      </c>
      <c r="D40" s="151">
        <v>0</v>
      </c>
      <c r="E40" s="151">
        <v>0</v>
      </c>
      <c r="F40" s="154">
        <v>0</v>
      </c>
      <c r="H40" s="148"/>
    </row>
    <row r="41" spans="2:9" ht="15.75" customHeight="1" x14ac:dyDescent="0.2">
      <c r="B41" s="145">
        <v>46031</v>
      </c>
      <c r="C41" s="140">
        <v>4836</v>
      </c>
      <c r="D41" s="150">
        <v>0</v>
      </c>
      <c r="E41" s="150">
        <v>0</v>
      </c>
      <c r="F41" s="153">
        <v>0</v>
      </c>
      <c r="H41" s="148"/>
    </row>
    <row r="42" spans="2:9" ht="15.75" customHeight="1" x14ac:dyDescent="0.2">
      <c r="B42" s="145">
        <v>46032</v>
      </c>
      <c r="C42" s="139">
        <v>4837</v>
      </c>
      <c r="D42" s="151">
        <v>0</v>
      </c>
      <c r="E42" s="151">
        <v>0</v>
      </c>
      <c r="F42" s="154">
        <v>0</v>
      </c>
      <c r="H42" s="148"/>
    </row>
    <row r="43" spans="2:9" ht="15.75" customHeight="1" x14ac:dyDescent="0.2">
      <c r="B43" s="145">
        <v>46033</v>
      </c>
      <c r="C43" s="140">
        <v>4914</v>
      </c>
      <c r="D43" s="150">
        <v>0</v>
      </c>
      <c r="E43" s="150">
        <v>0</v>
      </c>
      <c r="F43" s="153">
        <v>0</v>
      </c>
      <c r="H43" s="148"/>
    </row>
    <row r="44" spans="2:9" ht="15.75" customHeight="1" x14ac:dyDescent="0.2">
      <c r="B44" s="145">
        <v>46034</v>
      </c>
      <c r="C44" s="139">
        <v>4863</v>
      </c>
      <c r="D44" s="151">
        <v>0</v>
      </c>
      <c r="E44" s="151">
        <v>0</v>
      </c>
      <c r="F44" s="154">
        <v>0</v>
      </c>
      <c r="H44" s="148"/>
    </row>
    <row r="45" spans="2:9" x14ac:dyDescent="0.2">
      <c r="B45" s="145">
        <v>46035</v>
      </c>
      <c r="C45" s="140">
        <v>4837</v>
      </c>
      <c r="D45" s="150">
        <v>0</v>
      </c>
      <c r="E45" s="150">
        <v>0</v>
      </c>
      <c r="F45" s="153">
        <v>0</v>
      </c>
      <c r="H45" s="148"/>
    </row>
    <row r="46" spans="2:9" x14ac:dyDescent="0.2">
      <c r="B46" s="145">
        <v>46036</v>
      </c>
      <c r="C46" s="139">
        <v>4846</v>
      </c>
      <c r="D46" s="151">
        <v>0</v>
      </c>
      <c r="E46" s="151">
        <v>0</v>
      </c>
      <c r="F46" s="154">
        <v>0</v>
      </c>
      <c r="H46" s="148"/>
    </row>
    <row r="47" spans="2:9" x14ac:dyDescent="0.2">
      <c r="B47" s="145">
        <v>46037</v>
      </c>
      <c r="C47" s="140">
        <v>4721</v>
      </c>
      <c r="D47" s="150">
        <v>0</v>
      </c>
      <c r="E47" s="150">
        <v>0</v>
      </c>
      <c r="F47" s="153">
        <v>0</v>
      </c>
      <c r="H47" s="148"/>
      <c r="I47" t="s">
        <v>415</v>
      </c>
    </row>
    <row r="48" spans="2:9" x14ac:dyDescent="0.2">
      <c r="B48" s="145">
        <v>46038</v>
      </c>
      <c r="C48" s="139">
        <v>4683</v>
      </c>
      <c r="D48" s="151">
        <v>0</v>
      </c>
      <c r="E48" s="151">
        <v>0</v>
      </c>
      <c r="F48" s="154">
        <v>0</v>
      </c>
      <c r="H48" s="148"/>
      <c r="I48" t="s">
        <v>416</v>
      </c>
    </row>
    <row r="49" spans="2:8" x14ac:dyDescent="0.2">
      <c r="B49" s="145">
        <v>46039</v>
      </c>
      <c r="C49" s="140">
        <v>4895</v>
      </c>
      <c r="D49" s="150">
        <v>0</v>
      </c>
      <c r="E49" s="150">
        <v>0</v>
      </c>
      <c r="F49" s="153">
        <v>0</v>
      </c>
      <c r="H49" s="148"/>
    </row>
    <row r="50" spans="2:8" x14ac:dyDescent="0.2">
      <c r="B50" s="145">
        <v>46040</v>
      </c>
      <c r="C50" s="139">
        <v>4851</v>
      </c>
      <c r="D50" s="151">
        <v>0</v>
      </c>
      <c r="E50" s="151">
        <v>0</v>
      </c>
      <c r="F50" s="154">
        <v>0</v>
      </c>
      <c r="H50" s="148"/>
    </row>
    <row r="51" spans="2:8" x14ac:dyDescent="0.2">
      <c r="B51" s="145">
        <v>46041</v>
      </c>
      <c r="C51" s="140">
        <v>4869</v>
      </c>
      <c r="D51" s="150">
        <v>0</v>
      </c>
      <c r="E51" s="150">
        <v>0</v>
      </c>
      <c r="F51" s="153">
        <v>0</v>
      </c>
      <c r="H51" s="148"/>
    </row>
    <row r="52" spans="2:8" x14ac:dyDescent="0.2">
      <c r="B52" s="145">
        <v>46042</v>
      </c>
      <c r="C52" s="139">
        <v>4956</v>
      </c>
      <c r="D52" s="151">
        <v>0</v>
      </c>
      <c r="E52" s="151">
        <v>0</v>
      </c>
      <c r="F52" s="154">
        <v>0</v>
      </c>
      <c r="H52" s="148"/>
    </row>
    <row r="53" spans="2:8" x14ac:dyDescent="0.2">
      <c r="B53" s="145">
        <v>46043</v>
      </c>
      <c r="C53" s="140">
        <v>4896</v>
      </c>
      <c r="D53" s="150">
        <v>0</v>
      </c>
      <c r="E53" s="150">
        <v>0</v>
      </c>
      <c r="F53" s="153">
        <v>0</v>
      </c>
      <c r="H53" s="148"/>
    </row>
    <row r="54" spans="2:8" x14ac:dyDescent="0.2">
      <c r="B54" s="145">
        <v>46044</v>
      </c>
      <c r="C54" s="139">
        <v>4870</v>
      </c>
      <c r="D54" s="151">
        <v>0</v>
      </c>
      <c r="E54" s="151">
        <v>0</v>
      </c>
      <c r="F54" s="154">
        <v>0</v>
      </c>
      <c r="H54" s="148"/>
    </row>
    <row r="55" spans="2:8" x14ac:dyDescent="0.2">
      <c r="B55" s="145">
        <v>46045</v>
      </c>
      <c r="C55" s="140">
        <v>4852</v>
      </c>
      <c r="D55" s="150">
        <v>0.30769999999999997</v>
      </c>
      <c r="E55" s="150">
        <v>0</v>
      </c>
      <c r="F55" s="153">
        <v>0</v>
      </c>
      <c r="H55" s="148"/>
    </row>
    <row r="56" spans="2:8" x14ac:dyDescent="0.2">
      <c r="B56" s="145">
        <v>46046</v>
      </c>
      <c r="C56" s="139">
        <v>4882</v>
      </c>
      <c r="D56" s="151">
        <v>2E-3</v>
      </c>
      <c r="E56" s="151">
        <v>0</v>
      </c>
      <c r="F56" s="154">
        <v>0</v>
      </c>
      <c r="H56" s="148"/>
    </row>
    <row r="57" spans="2:8" x14ac:dyDescent="0.2">
      <c r="B57" s="145">
        <v>46047</v>
      </c>
      <c r="C57" s="140">
        <v>4848</v>
      </c>
      <c r="D57" s="150">
        <v>0.26669999999999999</v>
      </c>
      <c r="E57" s="150">
        <v>0</v>
      </c>
      <c r="F57" s="153">
        <v>0</v>
      </c>
      <c r="H57" s="148"/>
    </row>
    <row r="58" spans="2:8" x14ac:dyDescent="0.2">
      <c r="B58" s="145">
        <v>46048</v>
      </c>
      <c r="C58" s="139">
        <v>4733</v>
      </c>
      <c r="D58" s="151">
        <v>0.45450000000000002</v>
      </c>
      <c r="E58" s="151">
        <v>0</v>
      </c>
      <c r="F58" s="154">
        <v>0</v>
      </c>
      <c r="H58" s="148"/>
    </row>
    <row r="59" spans="2:8" x14ac:dyDescent="0.2">
      <c r="B59" s="145">
        <v>46049</v>
      </c>
      <c r="C59" s="140">
        <v>4777</v>
      </c>
      <c r="D59" s="150">
        <v>2E-3</v>
      </c>
      <c r="E59" s="150">
        <v>0</v>
      </c>
      <c r="F59" s="153">
        <v>0</v>
      </c>
      <c r="H59" s="148"/>
    </row>
    <row r="60" spans="2:8" x14ac:dyDescent="0.2">
      <c r="B60" s="145">
        <v>46050</v>
      </c>
      <c r="C60" s="139">
        <v>4846</v>
      </c>
      <c r="D60" s="151">
        <v>2.5000000000000001E-3</v>
      </c>
      <c r="E60" s="151">
        <v>0</v>
      </c>
      <c r="F60" s="154">
        <v>0</v>
      </c>
      <c r="H60" s="148"/>
    </row>
    <row r="61" spans="2:8" x14ac:dyDescent="0.2">
      <c r="B61" s="145">
        <v>46051</v>
      </c>
      <c r="C61" s="140">
        <v>4813</v>
      </c>
      <c r="D61" s="150">
        <v>0.16670000000000001</v>
      </c>
      <c r="E61" s="150">
        <v>0</v>
      </c>
      <c r="F61" s="153">
        <v>0</v>
      </c>
      <c r="H61" s="148"/>
    </row>
    <row r="62" spans="2:8" x14ac:dyDescent="0.2">
      <c r="B62" s="145">
        <v>46052</v>
      </c>
      <c r="C62" s="139">
        <v>4847</v>
      </c>
      <c r="D62" s="151">
        <v>0.46149999999999997</v>
      </c>
      <c r="E62" s="151">
        <v>0</v>
      </c>
      <c r="F62" s="154">
        <v>0</v>
      </c>
      <c r="H62" s="148"/>
    </row>
    <row r="63" spans="2:8" x14ac:dyDescent="0.2">
      <c r="B63" s="145">
        <v>46053</v>
      </c>
      <c r="C63" s="140">
        <v>4670</v>
      </c>
      <c r="D63" s="150">
        <v>0.15380000000000002</v>
      </c>
      <c r="E63" s="150">
        <v>0</v>
      </c>
      <c r="F63" s="153">
        <v>0</v>
      </c>
      <c r="H63" s="148"/>
    </row>
    <row r="64" spans="2:8" x14ac:dyDescent="0.2">
      <c r="B64" s="145">
        <v>46054</v>
      </c>
      <c r="C64" s="139">
        <v>4784</v>
      </c>
      <c r="D64" s="151">
        <v>0.28570000000000001</v>
      </c>
      <c r="E64" s="151">
        <v>0</v>
      </c>
      <c r="F64" s="154">
        <v>0</v>
      </c>
      <c r="H64" s="148"/>
    </row>
    <row r="65" spans="2:8" x14ac:dyDescent="0.2">
      <c r="B65" s="145">
        <v>46055</v>
      </c>
      <c r="C65" s="140">
        <v>4867</v>
      </c>
      <c r="D65" s="150">
        <v>0.42859999999999998</v>
      </c>
      <c r="E65" s="150">
        <v>0</v>
      </c>
      <c r="F65" s="153">
        <v>0</v>
      </c>
      <c r="H65" s="148"/>
    </row>
    <row r="66" spans="2:8" x14ac:dyDescent="0.2">
      <c r="B66" s="145">
        <v>46056</v>
      </c>
      <c r="C66" s="139">
        <v>4819</v>
      </c>
      <c r="D66" s="151">
        <v>2E-3</v>
      </c>
      <c r="E66" s="151">
        <v>0</v>
      </c>
      <c r="F66" s="154">
        <v>0</v>
      </c>
      <c r="H66" s="148"/>
    </row>
    <row r="67" spans="2:8" x14ac:dyDescent="0.2">
      <c r="B67" s="145">
        <v>46057</v>
      </c>
      <c r="C67" s="140">
        <v>4811</v>
      </c>
      <c r="D67" s="150">
        <v>0.16670000000000001</v>
      </c>
      <c r="E67" s="150">
        <v>0</v>
      </c>
      <c r="F67" s="153">
        <v>0</v>
      </c>
      <c r="H67" s="148"/>
    </row>
    <row r="68" spans="2:8" x14ac:dyDescent="0.2">
      <c r="B68" s="145">
        <v>46058</v>
      </c>
      <c r="C68" s="139">
        <v>4745</v>
      </c>
      <c r="D68" s="151">
        <v>2E-3</v>
      </c>
      <c r="E68" s="151">
        <v>0</v>
      </c>
      <c r="F68" s="154">
        <v>0</v>
      </c>
      <c r="H68" s="148"/>
    </row>
    <row r="69" spans="2:8" x14ac:dyDescent="0.2">
      <c r="B69" s="145">
        <v>46059</v>
      </c>
      <c r="C69" s="140">
        <v>4784</v>
      </c>
      <c r="D69" s="150">
        <v>2E-3</v>
      </c>
      <c r="E69" s="150">
        <v>0</v>
      </c>
      <c r="F69" s="153">
        <v>0</v>
      </c>
      <c r="H69" s="148"/>
    </row>
    <row r="70" spans="2:8" x14ac:dyDescent="0.2">
      <c r="B70" s="145">
        <v>46060</v>
      </c>
      <c r="C70" s="139">
        <v>4707</v>
      </c>
      <c r="D70" s="151">
        <v>0.15380000000000002</v>
      </c>
      <c r="E70" s="151">
        <v>0</v>
      </c>
      <c r="F70" s="154">
        <v>0</v>
      </c>
      <c r="H70" s="148"/>
    </row>
    <row r="71" spans="2:8" x14ac:dyDescent="0.2">
      <c r="B71" s="145">
        <v>46061</v>
      </c>
      <c r="C71" s="140">
        <v>4850</v>
      </c>
      <c r="D71" s="150">
        <v>2E-3</v>
      </c>
      <c r="E71" s="150">
        <v>0</v>
      </c>
      <c r="F71" s="153">
        <v>0</v>
      </c>
      <c r="H71" s="148"/>
    </row>
    <row r="72" spans="2:8" x14ac:dyDescent="0.2">
      <c r="B72" s="145">
        <v>46062</v>
      </c>
      <c r="C72" s="139">
        <v>4830</v>
      </c>
      <c r="D72" s="151">
        <v>4.0000000000000001E-3</v>
      </c>
      <c r="E72" s="151">
        <v>0</v>
      </c>
      <c r="F72" s="154">
        <v>0</v>
      </c>
      <c r="H72" s="148"/>
    </row>
    <row r="73" spans="2:8" x14ac:dyDescent="0.2">
      <c r="B73" s="145">
        <v>46063</v>
      </c>
      <c r="C73" s="140">
        <v>4760</v>
      </c>
      <c r="D73" s="150">
        <v>1.2500000000000001E-2</v>
      </c>
      <c r="E73" s="150">
        <v>0</v>
      </c>
      <c r="F73" s="153">
        <v>0</v>
      </c>
      <c r="H73" s="148"/>
    </row>
    <row r="74" spans="2:8" x14ac:dyDescent="0.2">
      <c r="B74" s="145">
        <v>46064</v>
      </c>
      <c r="C74" s="139">
        <v>4938</v>
      </c>
      <c r="D74" s="151">
        <v>0</v>
      </c>
      <c r="E74" s="151">
        <v>0</v>
      </c>
      <c r="F74" s="154">
        <v>0</v>
      </c>
      <c r="H74" s="148"/>
    </row>
    <row r="75" spans="2:8" x14ac:dyDescent="0.2">
      <c r="B75" s="145">
        <v>46065</v>
      </c>
      <c r="C75" s="140">
        <v>4916</v>
      </c>
      <c r="D75" s="150">
        <v>0.33329999999999999</v>
      </c>
      <c r="E75" s="150">
        <v>0</v>
      </c>
      <c r="F75" s="153">
        <v>0</v>
      </c>
      <c r="H75" s="148"/>
    </row>
    <row r="76" spans="2:8" x14ac:dyDescent="0.2">
      <c r="B76" s="145">
        <v>46066</v>
      </c>
      <c r="C76" s="139">
        <v>4940</v>
      </c>
      <c r="D76" s="151">
        <v>5.0000000000000001E-3</v>
      </c>
      <c r="E76" s="151">
        <v>0</v>
      </c>
      <c r="F76" s="154">
        <v>0</v>
      </c>
      <c r="H76" s="148"/>
    </row>
    <row r="77" spans="2:8" x14ac:dyDescent="0.2">
      <c r="B77" s="145">
        <v>46067</v>
      </c>
      <c r="C77" s="140">
        <v>4953</v>
      </c>
      <c r="D77" s="150">
        <v>0</v>
      </c>
      <c r="E77" s="150">
        <v>0</v>
      </c>
      <c r="F77" s="153">
        <v>0</v>
      </c>
      <c r="H77" s="148"/>
    </row>
    <row r="78" spans="2:8" x14ac:dyDescent="0.2">
      <c r="B78" s="145">
        <v>46068</v>
      </c>
      <c r="C78" s="139">
        <v>4780</v>
      </c>
      <c r="D78" s="151">
        <v>0</v>
      </c>
      <c r="E78" s="151">
        <v>0</v>
      </c>
      <c r="F78" s="154">
        <v>0</v>
      </c>
      <c r="H78" s="148"/>
    </row>
    <row r="79" spans="2:8" x14ac:dyDescent="0.2">
      <c r="B79" s="145">
        <v>46069</v>
      </c>
      <c r="C79" s="140">
        <v>4962</v>
      </c>
      <c r="D79" s="150">
        <v>0.16670000000000001</v>
      </c>
      <c r="E79" s="150">
        <v>0</v>
      </c>
      <c r="F79" s="153">
        <v>0</v>
      </c>
      <c r="H79" s="148"/>
    </row>
    <row r="80" spans="2:8" x14ac:dyDescent="0.2">
      <c r="B80" s="145">
        <v>46070</v>
      </c>
      <c r="C80" s="139">
        <v>4838</v>
      </c>
      <c r="D80" s="151">
        <v>0</v>
      </c>
      <c r="E80" s="151">
        <v>0</v>
      </c>
      <c r="F80" s="154">
        <v>0</v>
      </c>
      <c r="H80" s="148"/>
    </row>
    <row r="81" spans="2:8" x14ac:dyDescent="0.2">
      <c r="B81" s="145">
        <v>46071</v>
      </c>
      <c r="C81" s="140">
        <v>4905</v>
      </c>
      <c r="D81" s="150">
        <v>2.5000000000000001E-3</v>
      </c>
      <c r="E81" s="150">
        <v>0</v>
      </c>
      <c r="F81" s="153">
        <v>0</v>
      </c>
      <c r="H81" s="148"/>
    </row>
    <row r="82" spans="2:8" x14ac:dyDescent="0.2">
      <c r="B82" s="145">
        <v>46072</v>
      </c>
      <c r="C82" s="139">
        <v>4840</v>
      </c>
      <c r="D82" s="151">
        <v>0</v>
      </c>
      <c r="E82" s="151">
        <v>0</v>
      </c>
      <c r="F82" s="154">
        <v>0</v>
      </c>
      <c r="H82" s="148"/>
    </row>
    <row r="83" spans="2:8" x14ac:dyDescent="0.2">
      <c r="B83" s="145">
        <v>46073</v>
      </c>
      <c r="C83" s="140">
        <v>4933</v>
      </c>
      <c r="D83" s="150">
        <v>1E-3</v>
      </c>
      <c r="E83" s="150">
        <v>0</v>
      </c>
      <c r="F83" s="153">
        <v>0</v>
      </c>
      <c r="H83" s="148"/>
    </row>
    <row r="84" spans="2:8" x14ac:dyDescent="0.2">
      <c r="B84" s="145">
        <v>46074</v>
      </c>
      <c r="C84" s="139">
        <v>5040</v>
      </c>
      <c r="D84" s="151">
        <v>0.22219999999999998</v>
      </c>
      <c r="E84" s="151">
        <v>0</v>
      </c>
      <c r="F84" s="154">
        <v>0</v>
      </c>
      <c r="H84" s="148"/>
    </row>
    <row r="85" spans="2:8" x14ac:dyDescent="0.2">
      <c r="B85" s="145">
        <v>46075</v>
      </c>
      <c r="C85" s="140">
        <v>5123</v>
      </c>
      <c r="D85" s="150">
        <v>0.11109999999999999</v>
      </c>
      <c r="E85" s="150">
        <v>0</v>
      </c>
      <c r="F85" s="153">
        <v>0</v>
      </c>
      <c r="H85" s="148"/>
    </row>
    <row r="86" spans="2:8" x14ac:dyDescent="0.2">
      <c r="B86" s="145">
        <v>46076</v>
      </c>
      <c r="C86" s="139">
        <v>5054</v>
      </c>
      <c r="D86" s="151">
        <v>0.26319999999999999</v>
      </c>
      <c r="E86" s="151">
        <v>0</v>
      </c>
      <c r="F86" s="154">
        <v>0</v>
      </c>
      <c r="H86" s="148"/>
    </row>
    <row r="87" spans="2:8" x14ac:dyDescent="0.2">
      <c r="B87" s="145">
        <v>46077</v>
      </c>
      <c r="C87" s="140">
        <v>5102</v>
      </c>
      <c r="D87" s="150">
        <v>0.23530000000000001</v>
      </c>
      <c r="E87" s="150">
        <v>0</v>
      </c>
      <c r="F87" s="153">
        <v>0</v>
      </c>
      <c r="H87" s="148"/>
    </row>
    <row r="88" spans="2:8" x14ac:dyDescent="0.2">
      <c r="B88" s="145">
        <v>46078</v>
      </c>
      <c r="C88" s="139">
        <v>5010</v>
      </c>
      <c r="D88" s="151">
        <v>0.16670000000000001</v>
      </c>
      <c r="E88" s="151">
        <v>0</v>
      </c>
      <c r="F88" s="154">
        <v>0</v>
      </c>
      <c r="H88" s="148"/>
    </row>
    <row r="89" spans="2:8" x14ac:dyDescent="0.2">
      <c r="B89" s="145">
        <v>46079</v>
      </c>
      <c r="C89" s="140">
        <v>5012</v>
      </c>
      <c r="D89" s="150">
        <v>0</v>
      </c>
      <c r="E89" s="150">
        <v>0</v>
      </c>
      <c r="F89" s="153">
        <v>0</v>
      </c>
      <c r="H89" s="148"/>
    </row>
    <row r="90" spans="2:8" x14ac:dyDescent="0.2">
      <c r="B90" s="145">
        <v>46080</v>
      </c>
      <c r="C90" s="139">
        <v>4924</v>
      </c>
      <c r="D90" s="151">
        <v>0.1875</v>
      </c>
      <c r="E90" s="151">
        <v>0</v>
      </c>
      <c r="F90" s="154">
        <v>0</v>
      </c>
      <c r="H90" s="148"/>
    </row>
    <row r="91" spans="2:8" x14ac:dyDescent="0.2">
      <c r="B91" s="145">
        <v>46081</v>
      </c>
      <c r="C91" s="140">
        <v>5033</v>
      </c>
      <c r="D91" s="150">
        <v>0</v>
      </c>
      <c r="E91" s="150">
        <v>0</v>
      </c>
      <c r="F91" s="153">
        <v>0</v>
      </c>
      <c r="H91" s="148"/>
    </row>
    <row r="92" spans="2:8" x14ac:dyDescent="0.2">
      <c r="B92" s="145">
        <v>46082</v>
      </c>
      <c r="C92" s="139">
        <v>4975</v>
      </c>
      <c r="D92" s="151">
        <v>0.21050000000000002</v>
      </c>
      <c r="E92" s="151">
        <v>0</v>
      </c>
      <c r="F92" s="154">
        <v>0</v>
      </c>
      <c r="H92" s="148"/>
    </row>
    <row r="93" spans="2:8" x14ac:dyDescent="0.2">
      <c r="B93" s="145">
        <v>46083</v>
      </c>
      <c r="C93" s="140">
        <v>4944</v>
      </c>
      <c r="D93" s="150">
        <v>0.1429</v>
      </c>
      <c r="E93" s="150">
        <v>0</v>
      </c>
      <c r="F93" s="153">
        <v>0</v>
      </c>
      <c r="H93" s="148"/>
    </row>
    <row r="94" spans="2:8" x14ac:dyDescent="0.2">
      <c r="B94" s="145">
        <v>46084</v>
      </c>
      <c r="C94" s="139">
        <v>4900</v>
      </c>
      <c r="D94" s="151">
        <v>0.29410000000000003</v>
      </c>
      <c r="E94" s="151">
        <v>0</v>
      </c>
      <c r="F94" s="154">
        <v>0</v>
      </c>
      <c r="H94" s="148"/>
    </row>
    <row r="95" spans="2:8" x14ac:dyDescent="0.2">
      <c r="B95" s="145">
        <v>46085</v>
      </c>
      <c r="C95" s="140">
        <v>4644</v>
      </c>
      <c r="D95" s="150">
        <v>0.16670000000000001</v>
      </c>
      <c r="E95" s="150">
        <v>0</v>
      </c>
      <c r="F95" s="153">
        <v>0</v>
      </c>
      <c r="H95" s="148"/>
    </row>
    <row r="96" spans="2:8" x14ac:dyDescent="0.2">
      <c r="B96" s="145">
        <v>46086</v>
      </c>
      <c r="C96" s="139">
        <v>4857</v>
      </c>
      <c r="D96" s="151">
        <v>0.17649999999999999</v>
      </c>
      <c r="E96" s="151">
        <v>0</v>
      </c>
      <c r="F96" s="154">
        <v>0</v>
      </c>
      <c r="H96" s="148"/>
    </row>
    <row r="97" spans="2:8" x14ac:dyDescent="0.2">
      <c r="B97" s="145">
        <v>46087</v>
      </c>
      <c r="C97" s="140">
        <v>4878</v>
      </c>
      <c r="D97" s="150">
        <v>0.2727</v>
      </c>
      <c r="E97" s="150">
        <v>0</v>
      </c>
      <c r="F97" s="153">
        <v>0</v>
      </c>
      <c r="H97" s="148"/>
    </row>
    <row r="98" spans="2:8" x14ac:dyDescent="0.2">
      <c r="B98" s="145">
        <v>46088</v>
      </c>
      <c r="C98" s="139">
        <v>4841</v>
      </c>
      <c r="D98" s="151">
        <v>2E-3</v>
      </c>
      <c r="E98" s="151">
        <v>0</v>
      </c>
      <c r="F98" s="154">
        <v>0</v>
      </c>
      <c r="H98" s="148"/>
    </row>
    <row r="99" spans="2:8" x14ac:dyDescent="0.2">
      <c r="B99" s="145">
        <v>46089</v>
      </c>
      <c r="C99" s="140">
        <v>4992</v>
      </c>
      <c r="D99" s="150">
        <v>0.1905</v>
      </c>
      <c r="E99" s="150">
        <v>0</v>
      </c>
      <c r="F99" s="153">
        <v>0</v>
      </c>
      <c r="H99" s="148"/>
    </row>
    <row r="100" spans="2:8" x14ac:dyDescent="0.2">
      <c r="B100" s="145">
        <v>46090</v>
      </c>
      <c r="C100" s="139">
        <v>4916</v>
      </c>
      <c r="D100" s="151">
        <v>0.21739999999999998</v>
      </c>
      <c r="E100" s="151">
        <v>0</v>
      </c>
      <c r="F100" s="154">
        <v>0</v>
      </c>
      <c r="H100" s="148"/>
    </row>
    <row r="101" spans="2:8" x14ac:dyDescent="0.2">
      <c r="B101" s="145">
        <v>46091</v>
      </c>
      <c r="C101" s="140">
        <v>4778</v>
      </c>
      <c r="D101" s="150">
        <v>0.29410000000000003</v>
      </c>
      <c r="E101" s="150">
        <v>0</v>
      </c>
      <c r="F101" s="153">
        <v>0</v>
      </c>
      <c r="H101" s="148"/>
    </row>
    <row r="102" spans="2:8" x14ac:dyDescent="0.2">
      <c r="B102" s="145">
        <v>46092</v>
      </c>
      <c r="C102" s="139">
        <v>4748</v>
      </c>
      <c r="D102" s="151">
        <v>0.28570000000000001</v>
      </c>
      <c r="E102" s="151">
        <v>0</v>
      </c>
      <c r="F102" s="154">
        <v>0</v>
      </c>
      <c r="H102" s="148"/>
    </row>
    <row r="103" spans="2:8" x14ac:dyDescent="0.2">
      <c r="B103" s="145">
        <v>46093</v>
      </c>
      <c r="C103" s="140">
        <v>4875</v>
      </c>
      <c r="D103" s="150">
        <v>0.22219999999999998</v>
      </c>
      <c r="E103" s="150">
        <v>0</v>
      </c>
      <c r="F103" s="153">
        <v>0</v>
      </c>
      <c r="H103" s="148"/>
    </row>
    <row r="104" spans="2:8" x14ac:dyDescent="0.2">
      <c r="B104" s="146">
        <v>46094</v>
      </c>
      <c r="C104" s="147">
        <v>4695</v>
      </c>
      <c r="D104" s="152">
        <v>0.25</v>
      </c>
      <c r="E104" s="152">
        <v>0</v>
      </c>
      <c r="F104" s="155">
        <v>0</v>
      </c>
      <c r="H104" s="148"/>
    </row>
  </sheetData>
  <mergeCells count="4">
    <mergeCell ref="B13:F13"/>
    <mergeCell ref="B2:F2"/>
    <mergeCell ref="B4:F4"/>
    <mergeCell ref="E5:F5"/>
  </mergeCells>
  <pageMargins left="0.75" right="0.75" top="1" bottom="1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7"/>
  <sheetViews>
    <sheetView showGridLines="0" zoomScale="125" zoomScaleNormal="110" workbookViewId="0">
      <pane xSplit="1" ySplit="1" topLeftCell="B10" activePane="bottomRight" state="frozen"/>
      <selection pane="topRight" activeCell="B1" sqref="B1"/>
      <selection pane="bottomLeft" activeCell="A4" sqref="A4"/>
      <selection pane="bottomRight" activeCell="D23" sqref="D23"/>
    </sheetView>
  </sheetViews>
  <sheetFormatPr baseColWidth="10" defaultColWidth="8.6640625" defaultRowHeight="15" x14ac:dyDescent="0.2"/>
  <cols>
    <col min="1" max="1" width="32.5" customWidth="1"/>
    <col min="2" max="2" width="30" customWidth="1"/>
    <col min="3" max="4" width="20" customWidth="1"/>
    <col min="5" max="5" width="2" customWidth="1"/>
  </cols>
  <sheetData>
    <row r="1" spans="1:3" ht="20" x14ac:dyDescent="0.2">
      <c r="A1" s="58" t="s">
        <v>2064</v>
      </c>
      <c r="B1" s="58"/>
      <c r="C1" s="58"/>
    </row>
    <row r="2" spans="1:3" x14ac:dyDescent="0.2">
      <c r="A2" s="60" t="s">
        <v>2065</v>
      </c>
      <c r="B2" s="60"/>
      <c r="C2" s="60"/>
    </row>
    <row r="3" spans="1:3" x14ac:dyDescent="0.2">
      <c r="A3" s="7" t="s">
        <v>44</v>
      </c>
      <c r="B3" s="7" t="s">
        <v>30</v>
      </c>
      <c r="C3" s="7" t="s">
        <v>31</v>
      </c>
    </row>
    <row r="4" spans="1:3" x14ac:dyDescent="0.2">
      <c r="A4" s="3" t="s">
        <v>5</v>
      </c>
      <c r="B4" s="183">
        <v>470</v>
      </c>
      <c r="C4" s="38"/>
    </row>
    <row r="5" spans="1:3" x14ac:dyDescent="0.2">
      <c r="A5" s="4" t="s">
        <v>2066</v>
      </c>
      <c r="B5" s="184">
        <v>25</v>
      </c>
      <c r="C5" s="39"/>
    </row>
    <row r="6" spans="1:3" x14ac:dyDescent="0.2">
      <c r="A6" s="3" t="s">
        <v>2067</v>
      </c>
      <c r="B6" s="183">
        <v>44</v>
      </c>
      <c r="C6" s="38"/>
    </row>
    <row r="7" spans="1:3" x14ac:dyDescent="0.2">
      <c r="A7" s="4" t="s">
        <v>8</v>
      </c>
      <c r="B7" s="144">
        <v>9.9000000000000005E-2</v>
      </c>
      <c r="C7" s="37"/>
    </row>
    <row r="8" spans="1:3" x14ac:dyDescent="0.2">
      <c r="A8" s="3" t="s">
        <v>2068</v>
      </c>
      <c r="B8" s="143">
        <v>4.4999999999999998E-2</v>
      </c>
      <c r="C8" s="38"/>
    </row>
    <row r="9" spans="1:3" x14ac:dyDescent="0.2">
      <c r="A9" s="4" t="s">
        <v>2069</v>
      </c>
      <c r="B9" s="144">
        <v>0.25</v>
      </c>
      <c r="C9" s="39"/>
    </row>
    <row r="10" spans="1:3" x14ac:dyDescent="0.2">
      <c r="A10" s="3" t="s">
        <v>2070</v>
      </c>
      <c r="B10" s="143">
        <v>0.114</v>
      </c>
      <c r="C10" s="38"/>
    </row>
    <row r="11" spans="1:3" x14ac:dyDescent="0.2">
      <c r="A11" s="4" t="s">
        <v>2071</v>
      </c>
      <c r="B11" s="144">
        <v>0</v>
      </c>
      <c r="C11" s="37"/>
    </row>
    <row r="12" spans="1:3" x14ac:dyDescent="0.2">
      <c r="A12" s="3" t="s">
        <v>2072</v>
      </c>
      <c r="B12" s="143">
        <v>4.4999999999999998E-2</v>
      </c>
      <c r="C12" s="38"/>
    </row>
    <row r="13" spans="1:3" x14ac:dyDescent="0.2">
      <c r="A13" s="4" t="s">
        <v>2073</v>
      </c>
      <c r="B13" s="144">
        <v>0</v>
      </c>
      <c r="C13" s="39"/>
    </row>
    <row r="14" spans="1:3" x14ac:dyDescent="0.2">
      <c r="A14" s="3" t="s">
        <v>2074</v>
      </c>
      <c r="B14" s="143">
        <v>0.13600000000000001</v>
      </c>
      <c r="C14" s="38"/>
    </row>
    <row r="15" spans="1:3" x14ac:dyDescent="0.2">
      <c r="A15" s="4" t="s">
        <v>2075</v>
      </c>
      <c r="B15" s="144">
        <v>6.8200000000000004E-5</v>
      </c>
      <c r="C15" s="37"/>
    </row>
    <row r="16" spans="1:3" x14ac:dyDescent="0.2">
      <c r="A16" s="3" t="s">
        <v>2076</v>
      </c>
      <c r="B16" s="143">
        <v>4.4999999999999998E-2</v>
      </c>
      <c r="C16" s="38"/>
    </row>
    <row r="17" spans="1:4" x14ac:dyDescent="0.2">
      <c r="A17" s="4" t="s">
        <v>2077</v>
      </c>
      <c r="B17" s="144">
        <v>0.29499999999999998</v>
      </c>
      <c r="C17" s="39"/>
    </row>
    <row r="20" spans="1:4" x14ac:dyDescent="0.2">
      <c r="A20" s="60" t="s">
        <v>45</v>
      </c>
      <c r="B20" s="60"/>
      <c r="C20" s="60"/>
    </row>
    <row r="21" spans="1:4" x14ac:dyDescent="0.2">
      <c r="A21" s="7" t="s">
        <v>9</v>
      </c>
      <c r="B21" s="7" t="s">
        <v>46</v>
      </c>
      <c r="C21" s="40"/>
    </row>
    <row r="22" spans="1:4" x14ac:dyDescent="0.2">
      <c r="A22" s="3" t="s">
        <v>47</v>
      </c>
      <c r="B22" s="8"/>
      <c r="C22" s="41"/>
    </row>
    <row r="23" spans="1:4" x14ac:dyDescent="0.2">
      <c r="A23" s="4" t="s">
        <v>48</v>
      </c>
      <c r="B23" s="9"/>
      <c r="C23" s="42"/>
    </row>
    <row r="24" spans="1:4" x14ac:dyDescent="0.2">
      <c r="A24" s="3" t="s">
        <v>49</v>
      </c>
      <c r="B24" s="8"/>
      <c r="C24" s="41"/>
    </row>
    <row r="25" spans="1:4" x14ac:dyDescent="0.2">
      <c r="A25" s="4" t="s">
        <v>50</v>
      </c>
      <c r="B25" s="9"/>
      <c r="C25" s="42"/>
    </row>
    <row r="26" spans="1:4" x14ac:dyDescent="0.2">
      <c r="A26" s="3" t="s">
        <v>51</v>
      </c>
      <c r="B26" s="8"/>
      <c r="C26" s="41"/>
    </row>
    <row r="27" spans="1:4" x14ac:dyDescent="0.2">
      <c r="A27" s="43" t="s">
        <v>52</v>
      </c>
      <c r="B27" s="44"/>
      <c r="C27" s="45"/>
    </row>
    <row r="30" spans="1:4" x14ac:dyDescent="0.2">
      <c r="A30" s="181" t="s">
        <v>62</v>
      </c>
      <c r="B30" s="182"/>
      <c r="C30" s="182"/>
      <c r="D30" s="182"/>
    </row>
    <row r="31" spans="1:4" x14ac:dyDescent="0.2">
      <c r="A31" s="7" t="s">
        <v>9</v>
      </c>
      <c r="B31" s="7">
        <v>2024</v>
      </c>
      <c r="C31" s="7">
        <v>2025</v>
      </c>
      <c r="D31" s="7" t="s">
        <v>10</v>
      </c>
    </row>
    <row r="32" spans="1:4" x14ac:dyDescent="0.2">
      <c r="A32" s="3" t="s">
        <v>7</v>
      </c>
      <c r="B32" s="8"/>
      <c r="C32" s="8"/>
      <c r="D32" s="8"/>
    </row>
    <row r="33" spans="1:4" x14ac:dyDescent="0.2">
      <c r="A33" s="4" t="s">
        <v>11</v>
      </c>
      <c r="B33" s="9"/>
      <c r="C33" s="53"/>
      <c r="D33" s="9"/>
    </row>
    <row r="34" spans="1:4" x14ac:dyDescent="0.2">
      <c r="A34" s="3" t="s">
        <v>8</v>
      </c>
      <c r="B34" s="8"/>
      <c r="C34" s="8"/>
      <c r="D34" s="8"/>
    </row>
    <row r="35" spans="1:4" x14ac:dyDescent="0.2">
      <c r="A35" s="4" t="s">
        <v>12</v>
      </c>
      <c r="B35" s="9"/>
      <c r="C35" s="9"/>
      <c r="D35" s="9"/>
    </row>
    <row r="36" spans="1:4" x14ac:dyDescent="0.2">
      <c r="A36" s="3" t="s">
        <v>13</v>
      </c>
      <c r="B36" s="8"/>
      <c r="C36" s="8"/>
      <c r="D36" s="8"/>
    </row>
    <row r="37" spans="1:4" x14ac:dyDescent="0.2">
      <c r="A37" s="4" t="s">
        <v>14</v>
      </c>
      <c r="B37" s="9"/>
      <c r="C37" s="9"/>
      <c r="D37" s="9"/>
    </row>
  </sheetData>
  <mergeCells count="4">
    <mergeCell ref="A30:D30"/>
    <mergeCell ref="A20:C20"/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3"/>
  <sheetViews>
    <sheetView showGridLines="0" zoomScale="111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8" sqref="H8"/>
    </sheetView>
  </sheetViews>
  <sheetFormatPr baseColWidth="10" defaultColWidth="8.6640625" defaultRowHeight="15" x14ac:dyDescent="0.2"/>
  <cols>
    <col min="1" max="1" width="2" customWidth="1"/>
    <col min="2" max="2" width="30" customWidth="1"/>
    <col min="3" max="4" width="18" customWidth="1"/>
    <col min="5" max="5" width="2" customWidth="1"/>
  </cols>
  <sheetData>
    <row r="1" spans="2:6" ht="7.5" customHeight="1" x14ac:dyDescent="0.2"/>
    <row r="2" spans="2:6" ht="36" customHeight="1" x14ac:dyDescent="0.2">
      <c r="B2" s="58" t="s">
        <v>53</v>
      </c>
      <c r="C2" s="58"/>
      <c r="D2" s="58"/>
    </row>
    <row r="3" spans="2:6" ht="7.5" customHeight="1" x14ac:dyDescent="0.2"/>
    <row r="4" spans="2:6" ht="19.5" customHeight="1" x14ac:dyDescent="0.2">
      <c r="B4" s="60" t="s">
        <v>54</v>
      </c>
      <c r="C4" s="60"/>
      <c r="D4" s="60"/>
    </row>
    <row r="5" spans="2:6" ht="18" customHeight="1" x14ac:dyDescent="0.2">
      <c r="B5" s="7" t="s">
        <v>26</v>
      </c>
      <c r="C5" s="7" t="s">
        <v>55</v>
      </c>
      <c r="D5" s="7" t="s">
        <v>56</v>
      </c>
    </row>
    <row r="6" spans="2:6" ht="18" customHeight="1" x14ac:dyDescent="0.2">
      <c r="B6" s="3" t="s">
        <v>57</v>
      </c>
      <c r="C6" s="13">
        <v>57312</v>
      </c>
      <c r="D6" s="38"/>
      <c r="F6" t="s">
        <v>412</v>
      </c>
    </row>
    <row r="7" spans="2:6" ht="18" customHeight="1" x14ac:dyDescent="0.2">
      <c r="B7" s="46" t="s">
        <v>58</v>
      </c>
      <c r="C7" s="47">
        <v>5623</v>
      </c>
      <c r="D7" s="48"/>
      <c r="F7" t="s">
        <v>413</v>
      </c>
    </row>
    <row r="8" spans="2:6" ht="18" customHeight="1" x14ac:dyDescent="0.2">
      <c r="B8" s="46" t="s">
        <v>414</v>
      </c>
      <c r="C8" s="47">
        <v>47333</v>
      </c>
      <c r="D8" s="48"/>
    </row>
    <row r="9" spans="2:6" ht="18" customHeight="1" x14ac:dyDescent="0.2">
      <c r="B9" s="49"/>
      <c r="C9" s="50"/>
      <c r="D9" s="51"/>
    </row>
    <row r="10" spans="2:6" ht="18" customHeight="1" x14ac:dyDescent="0.2">
      <c r="B10" s="49"/>
      <c r="C10" s="50"/>
      <c r="D10" s="51"/>
    </row>
    <row r="11" spans="2:6" ht="18" customHeight="1" x14ac:dyDescent="0.2">
      <c r="B11" s="4"/>
      <c r="C11" s="14"/>
      <c r="D11" s="39"/>
    </row>
    <row r="13" spans="2:6" ht="36" customHeight="1" x14ac:dyDescent="0.2"/>
  </sheetData>
  <mergeCells count="2">
    <mergeCell ref="B2:D2"/>
    <mergeCell ref="B4:D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1E3CE-CB8F-9843-8BD9-9ADAFCDFE0A7}">
  <dimension ref="A1:K471"/>
  <sheetViews>
    <sheetView topLeftCell="D1" workbookViewId="0">
      <selection activeCell="I476" sqref="I476"/>
    </sheetView>
  </sheetViews>
  <sheetFormatPr baseColWidth="10" defaultRowHeight="15" x14ac:dyDescent="0.2"/>
  <cols>
    <col min="1" max="1" width="17.1640625" bestFit="1" customWidth="1"/>
    <col min="2" max="2" width="17.6640625" bestFit="1" customWidth="1"/>
    <col min="3" max="3" width="27.1640625" bestFit="1" customWidth="1"/>
    <col min="4" max="4" width="26.33203125" bestFit="1" customWidth="1"/>
    <col min="5" max="5" width="13" bestFit="1" customWidth="1"/>
    <col min="6" max="6" width="15.6640625" bestFit="1" customWidth="1"/>
    <col min="7" max="7" width="11.83203125" bestFit="1" customWidth="1"/>
    <col min="8" max="8" width="15" bestFit="1" customWidth="1"/>
    <col min="9" max="9" width="80.6640625" bestFit="1" customWidth="1"/>
    <col min="10" max="10" width="20.6640625" bestFit="1" customWidth="1"/>
    <col min="11" max="11" width="22.1640625" bestFit="1" customWidth="1"/>
  </cols>
  <sheetData>
    <row r="1" spans="1:11" x14ac:dyDescent="0.2">
      <c r="A1" t="s">
        <v>421</v>
      </c>
      <c r="B1" t="s">
        <v>422</v>
      </c>
      <c r="C1" t="s">
        <v>423</v>
      </c>
      <c r="D1" t="s">
        <v>424</v>
      </c>
      <c r="E1" t="s">
        <v>425</v>
      </c>
      <c r="F1" t="s">
        <v>90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</row>
    <row r="2" spans="1:11" x14ac:dyDescent="0.2">
      <c r="A2" s="165">
        <v>46093.79824074074</v>
      </c>
      <c r="B2" s="134" t="s">
        <v>431</v>
      </c>
      <c r="C2" s="134" t="s">
        <v>432</v>
      </c>
      <c r="D2" s="165">
        <v>46104.999988425923</v>
      </c>
      <c r="E2" s="165">
        <v>46093.885567129626</v>
      </c>
      <c r="F2" s="134" t="s">
        <v>433</v>
      </c>
      <c r="G2">
        <v>4069518242278</v>
      </c>
      <c r="H2" s="134" t="s">
        <v>434</v>
      </c>
      <c r="I2" s="134" t="s">
        <v>224</v>
      </c>
      <c r="J2">
        <v>1</v>
      </c>
      <c r="K2">
        <v>0</v>
      </c>
    </row>
    <row r="3" spans="1:11" x14ac:dyDescent="0.2">
      <c r="A3" s="165">
        <v>46093.070810185185</v>
      </c>
      <c r="B3" s="134" t="s">
        <v>431</v>
      </c>
      <c r="C3" s="134" t="s">
        <v>435</v>
      </c>
      <c r="D3" s="165">
        <v>46102.999988425923</v>
      </c>
      <c r="E3" s="165">
        <v>46093.156284722223</v>
      </c>
      <c r="F3" s="134" t="s">
        <v>436</v>
      </c>
      <c r="G3">
        <v>4069518022900</v>
      </c>
      <c r="H3" s="134" t="s">
        <v>437</v>
      </c>
      <c r="I3" s="134" t="s">
        <v>194</v>
      </c>
      <c r="J3">
        <v>0</v>
      </c>
      <c r="K3">
        <v>0</v>
      </c>
    </row>
    <row r="4" spans="1:11" x14ac:dyDescent="0.2">
      <c r="A4" s="165">
        <v>46092.757615740738</v>
      </c>
      <c r="B4" s="134" t="s">
        <v>431</v>
      </c>
      <c r="C4" s="134" t="s">
        <v>438</v>
      </c>
      <c r="D4" s="165">
        <v>46102.999988425923</v>
      </c>
      <c r="E4" s="165">
        <v>46092.843842592592</v>
      </c>
      <c r="F4" s="134" t="s">
        <v>439</v>
      </c>
      <c r="G4">
        <v>4069518062289</v>
      </c>
      <c r="H4" s="134" t="s">
        <v>440</v>
      </c>
      <c r="I4" s="134" t="s">
        <v>181</v>
      </c>
      <c r="J4">
        <v>1</v>
      </c>
      <c r="K4">
        <v>0</v>
      </c>
    </row>
    <row r="5" spans="1:11" x14ac:dyDescent="0.2">
      <c r="A5" s="165">
        <v>46092.624803240738</v>
      </c>
      <c r="B5" s="134" t="s">
        <v>431</v>
      </c>
      <c r="C5" s="134" t="s">
        <v>441</v>
      </c>
      <c r="D5" s="165">
        <v>46102.999988425923</v>
      </c>
      <c r="E5" s="165">
        <v>46092.712037037039</v>
      </c>
      <c r="F5" s="134" t="s">
        <v>442</v>
      </c>
      <c r="G5">
        <v>741575664517</v>
      </c>
      <c r="H5" s="134" t="s">
        <v>443</v>
      </c>
      <c r="I5" s="134" t="s">
        <v>444</v>
      </c>
      <c r="J5">
        <v>1</v>
      </c>
      <c r="K5">
        <v>0</v>
      </c>
    </row>
    <row r="6" spans="1:11" x14ac:dyDescent="0.2">
      <c r="A6" s="165">
        <v>46092.496631944443</v>
      </c>
      <c r="B6" s="134" t="s">
        <v>431</v>
      </c>
      <c r="C6" s="134" t="s">
        <v>445</v>
      </c>
      <c r="D6" s="165">
        <v>46101.999988425923</v>
      </c>
      <c r="E6" s="165">
        <v>46092.583541666667</v>
      </c>
      <c r="F6" s="134" t="s">
        <v>446</v>
      </c>
      <c r="G6">
        <v>4069518392522</v>
      </c>
      <c r="H6" s="134" t="s">
        <v>447</v>
      </c>
      <c r="I6" s="134" t="s">
        <v>302</v>
      </c>
      <c r="J6">
        <v>0</v>
      </c>
      <c r="K6">
        <v>0</v>
      </c>
    </row>
    <row r="7" spans="1:11" x14ac:dyDescent="0.2">
      <c r="A7" s="165">
        <v>46092.354861111111</v>
      </c>
      <c r="B7" s="134" t="s">
        <v>431</v>
      </c>
      <c r="C7" s="134" t="s">
        <v>448</v>
      </c>
      <c r="D7" s="165">
        <v>46101.999988425923</v>
      </c>
      <c r="E7" s="165">
        <v>46092.441122685188</v>
      </c>
      <c r="F7" s="134" t="s">
        <v>449</v>
      </c>
      <c r="G7">
        <v>4069518341414</v>
      </c>
      <c r="H7" s="134" t="s">
        <v>450</v>
      </c>
      <c r="I7" s="134" t="s">
        <v>281</v>
      </c>
      <c r="J7">
        <v>0</v>
      </c>
      <c r="K7">
        <v>0</v>
      </c>
    </row>
    <row r="8" spans="1:11" x14ac:dyDescent="0.2">
      <c r="A8" s="165">
        <v>46090.57303240741</v>
      </c>
      <c r="B8" s="134" t="s">
        <v>431</v>
      </c>
      <c r="C8" s="134" t="s">
        <v>451</v>
      </c>
      <c r="D8" s="165">
        <v>46100.999988425923</v>
      </c>
      <c r="E8" s="165">
        <v>46090.660057870373</v>
      </c>
      <c r="F8" s="134" t="s">
        <v>452</v>
      </c>
      <c r="G8">
        <v>4069518478288</v>
      </c>
      <c r="H8" s="134" t="s">
        <v>453</v>
      </c>
      <c r="I8" s="134" t="s">
        <v>386</v>
      </c>
      <c r="J8">
        <v>0</v>
      </c>
      <c r="K8">
        <v>0</v>
      </c>
    </row>
    <row r="9" spans="1:11" x14ac:dyDescent="0.2">
      <c r="A9" s="165">
        <v>46090.537129629629</v>
      </c>
      <c r="B9" s="134" t="s">
        <v>454</v>
      </c>
      <c r="C9" s="134" t="s">
        <v>455</v>
      </c>
      <c r="D9" s="165">
        <v>46097.219652777778</v>
      </c>
      <c r="E9" s="165">
        <v>46094.54179398148</v>
      </c>
      <c r="F9" s="134" t="s">
        <v>456</v>
      </c>
      <c r="G9">
        <v>4069518406038</v>
      </c>
      <c r="H9" s="134" t="s">
        <v>457</v>
      </c>
      <c r="I9" s="134" t="s">
        <v>309</v>
      </c>
      <c r="J9">
        <v>0</v>
      </c>
      <c r="K9">
        <v>0</v>
      </c>
    </row>
    <row r="10" spans="1:11" x14ac:dyDescent="0.2">
      <c r="A10" s="165">
        <v>46090.514965277776</v>
      </c>
      <c r="B10" s="134" t="s">
        <v>431</v>
      </c>
      <c r="C10" s="134" t="s">
        <v>458</v>
      </c>
      <c r="D10" s="165">
        <v>46099.999988425923</v>
      </c>
      <c r="E10" s="165">
        <v>46093.798738425925</v>
      </c>
      <c r="F10" s="134" t="s">
        <v>459</v>
      </c>
      <c r="G10">
        <v>4069518413920</v>
      </c>
      <c r="H10" s="134" t="s">
        <v>460</v>
      </c>
      <c r="I10" s="134" t="s">
        <v>316</v>
      </c>
      <c r="J10">
        <v>0</v>
      </c>
      <c r="K10">
        <v>0</v>
      </c>
    </row>
    <row r="11" spans="1:11" x14ac:dyDescent="0.2">
      <c r="A11" s="165">
        <v>46089.595949074072</v>
      </c>
      <c r="B11" s="134" t="s">
        <v>431</v>
      </c>
      <c r="C11" s="134" t="s">
        <v>431</v>
      </c>
      <c r="D11" s="165">
        <v>46100.999988425923</v>
      </c>
      <c r="E11" s="165">
        <v>46089.680648148147</v>
      </c>
      <c r="F11" s="134" t="s">
        <v>459</v>
      </c>
      <c r="G11">
        <v>4069518413920</v>
      </c>
      <c r="H11" s="134" t="s">
        <v>461</v>
      </c>
      <c r="I11" s="134" t="s">
        <v>316</v>
      </c>
      <c r="J11">
        <v>0</v>
      </c>
      <c r="K11">
        <v>0</v>
      </c>
    </row>
    <row r="12" spans="1:11" x14ac:dyDescent="0.2">
      <c r="A12" s="165">
        <v>46089.436261574076</v>
      </c>
      <c r="B12" s="134" t="s">
        <v>462</v>
      </c>
      <c r="C12" s="134" t="s">
        <v>463</v>
      </c>
      <c r="D12" s="165">
        <v>46095.358391203707</v>
      </c>
      <c r="E12" s="165">
        <v>46093.229375000003</v>
      </c>
      <c r="F12" s="134" t="s">
        <v>464</v>
      </c>
      <c r="G12">
        <v>4069518256848</v>
      </c>
      <c r="H12" s="134" t="s">
        <v>465</v>
      </c>
      <c r="I12" s="134" t="s">
        <v>241</v>
      </c>
      <c r="J12">
        <v>0</v>
      </c>
      <c r="K12">
        <v>0</v>
      </c>
    </row>
    <row r="13" spans="1:11" x14ac:dyDescent="0.2">
      <c r="A13" s="165">
        <v>46088.828657407408</v>
      </c>
      <c r="B13" s="134" t="s">
        <v>466</v>
      </c>
      <c r="C13" s="134" t="s">
        <v>467</v>
      </c>
      <c r="D13" s="165">
        <v>46095.304201388892</v>
      </c>
      <c r="E13" s="165">
        <v>46094.489803240744</v>
      </c>
      <c r="F13" s="134" t="s">
        <v>468</v>
      </c>
      <c r="G13">
        <v>4069518009291</v>
      </c>
      <c r="H13" s="134" t="s">
        <v>469</v>
      </c>
      <c r="I13" s="134" t="s">
        <v>186</v>
      </c>
      <c r="J13">
        <v>0</v>
      </c>
      <c r="K13">
        <v>0</v>
      </c>
    </row>
    <row r="14" spans="1:11" x14ac:dyDescent="0.2">
      <c r="A14" s="165">
        <v>46086.651284722226</v>
      </c>
      <c r="B14" s="134" t="s">
        <v>470</v>
      </c>
      <c r="C14" s="134" t="s">
        <v>471</v>
      </c>
      <c r="D14" s="165">
        <v>46095.303541666668</v>
      </c>
      <c r="E14" s="165">
        <v>46093.621747685182</v>
      </c>
      <c r="F14" s="134" t="s">
        <v>472</v>
      </c>
      <c r="G14">
        <v>4069518196502</v>
      </c>
      <c r="H14" s="134" t="s">
        <v>473</v>
      </c>
      <c r="I14" s="134" t="s">
        <v>220</v>
      </c>
      <c r="J14">
        <v>1</v>
      </c>
      <c r="K14">
        <v>0</v>
      </c>
    </row>
    <row r="15" spans="1:11" x14ac:dyDescent="0.2">
      <c r="A15" s="165">
        <v>46086.350914351853</v>
      </c>
      <c r="B15" s="134" t="s">
        <v>474</v>
      </c>
      <c r="C15" s="134" t="s">
        <v>475</v>
      </c>
      <c r="D15" s="165">
        <v>46093.164733796293</v>
      </c>
      <c r="E15" s="165">
        <v>46092.493252314816</v>
      </c>
      <c r="F15" s="134" t="s">
        <v>476</v>
      </c>
      <c r="G15">
        <v>4069518466506</v>
      </c>
      <c r="H15" s="134" t="s">
        <v>477</v>
      </c>
      <c r="I15" s="134" t="s">
        <v>341</v>
      </c>
      <c r="J15">
        <v>0</v>
      </c>
      <c r="K15">
        <v>0</v>
      </c>
    </row>
    <row r="16" spans="1:11" x14ac:dyDescent="0.2">
      <c r="A16" s="165">
        <v>46084.586018518516</v>
      </c>
      <c r="B16" s="134" t="s">
        <v>431</v>
      </c>
      <c r="C16" s="134" t="s">
        <v>478</v>
      </c>
      <c r="D16" s="165">
        <v>46094.999988425923</v>
      </c>
      <c r="E16" s="165">
        <v>46093.89943287037</v>
      </c>
      <c r="F16" s="134" t="s">
        <v>479</v>
      </c>
      <c r="G16">
        <v>4069518139912</v>
      </c>
      <c r="H16" s="134" t="s">
        <v>480</v>
      </c>
      <c r="I16" s="134" t="s">
        <v>209</v>
      </c>
      <c r="J16">
        <v>1</v>
      </c>
      <c r="K16">
        <v>0</v>
      </c>
    </row>
    <row r="17" spans="1:11" x14ac:dyDescent="0.2">
      <c r="A17" s="165">
        <v>46084.586018518516</v>
      </c>
      <c r="B17" s="134" t="s">
        <v>431</v>
      </c>
      <c r="C17" s="134" t="s">
        <v>478</v>
      </c>
      <c r="D17" s="165">
        <v>46094.999988425923</v>
      </c>
      <c r="E17" s="165">
        <v>46093.89943287037</v>
      </c>
      <c r="F17" s="134" t="s">
        <v>479</v>
      </c>
      <c r="G17">
        <v>4069518139912</v>
      </c>
      <c r="H17" s="134" t="s">
        <v>480</v>
      </c>
      <c r="I17" s="134" t="s">
        <v>209</v>
      </c>
      <c r="J17">
        <v>1</v>
      </c>
      <c r="K17">
        <v>0</v>
      </c>
    </row>
    <row r="18" spans="1:11" x14ac:dyDescent="0.2">
      <c r="A18" s="165">
        <v>46084.586018518516</v>
      </c>
      <c r="B18" s="134" t="s">
        <v>431</v>
      </c>
      <c r="C18" s="134" t="s">
        <v>478</v>
      </c>
      <c r="D18" s="165">
        <v>46094.999988425923</v>
      </c>
      <c r="E18" s="165">
        <v>46093.89943287037</v>
      </c>
      <c r="F18" s="134" t="s">
        <v>479</v>
      </c>
      <c r="G18">
        <v>4069518139912</v>
      </c>
      <c r="H18" s="134" t="s">
        <v>480</v>
      </c>
      <c r="I18" s="134" t="s">
        <v>209</v>
      </c>
      <c r="J18">
        <v>1</v>
      </c>
      <c r="K18">
        <v>0</v>
      </c>
    </row>
    <row r="19" spans="1:11" x14ac:dyDescent="0.2">
      <c r="A19" s="165">
        <v>46084.48578703704</v>
      </c>
      <c r="B19" s="134" t="s">
        <v>481</v>
      </c>
      <c r="C19" s="134" t="s">
        <v>482</v>
      </c>
      <c r="D19" s="165">
        <v>46097.381319444445</v>
      </c>
      <c r="E19" s="165">
        <v>46094.427152777775</v>
      </c>
      <c r="F19" s="134" t="s">
        <v>483</v>
      </c>
      <c r="G19">
        <v>4069518387269</v>
      </c>
      <c r="H19" s="134" t="s">
        <v>484</v>
      </c>
      <c r="I19" s="134" t="s">
        <v>296</v>
      </c>
      <c r="J19">
        <v>0</v>
      </c>
      <c r="K19">
        <v>0</v>
      </c>
    </row>
    <row r="20" spans="1:11" x14ac:dyDescent="0.2">
      <c r="A20" s="165">
        <v>46084.48578703704</v>
      </c>
      <c r="B20" s="134" t="s">
        <v>481</v>
      </c>
      <c r="C20" s="134" t="s">
        <v>482</v>
      </c>
      <c r="D20" s="165">
        <v>46097.381319444445</v>
      </c>
      <c r="E20" s="165">
        <v>46094.427152777775</v>
      </c>
      <c r="F20" s="134" t="s">
        <v>483</v>
      </c>
      <c r="G20">
        <v>4069518387269</v>
      </c>
      <c r="H20" s="134" t="s">
        <v>484</v>
      </c>
      <c r="I20" s="134" t="s">
        <v>296</v>
      </c>
      <c r="J20">
        <v>0</v>
      </c>
      <c r="K20">
        <v>0</v>
      </c>
    </row>
    <row r="21" spans="1:11" x14ac:dyDescent="0.2">
      <c r="A21" s="165">
        <v>46084.477754629632</v>
      </c>
      <c r="B21" s="134" t="s">
        <v>485</v>
      </c>
      <c r="C21" s="134" t="s">
        <v>486</v>
      </c>
      <c r="D21" s="165">
        <v>46093.13490740741</v>
      </c>
      <c r="E21" s="165">
        <v>46091.496759259258</v>
      </c>
      <c r="F21" s="134" t="s">
        <v>487</v>
      </c>
      <c r="G21">
        <v>4069518507711</v>
      </c>
      <c r="H21" s="134" t="s">
        <v>488</v>
      </c>
      <c r="I21" s="134" t="s">
        <v>393</v>
      </c>
      <c r="J21">
        <v>0</v>
      </c>
      <c r="K21">
        <v>0</v>
      </c>
    </row>
    <row r="22" spans="1:11" x14ac:dyDescent="0.2">
      <c r="A22" s="165">
        <v>46083.868136574078</v>
      </c>
      <c r="B22" s="134" t="s">
        <v>489</v>
      </c>
      <c r="C22" s="134" t="s">
        <v>490</v>
      </c>
      <c r="D22" s="165">
        <v>46090.375787037039</v>
      </c>
      <c r="E22" s="165">
        <v>46088.621620370373</v>
      </c>
      <c r="F22" s="134" t="s">
        <v>491</v>
      </c>
      <c r="G22">
        <v>4069518387221</v>
      </c>
      <c r="H22" s="134" t="s">
        <v>492</v>
      </c>
      <c r="I22" s="134" t="s">
        <v>295</v>
      </c>
      <c r="J22">
        <v>0</v>
      </c>
      <c r="K22">
        <v>0</v>
      </c>
    </row>
    <row r="23" spans="1:11" x14ac:dyDescent="0.2">
      <c r="A23" s="165">
        <v>46082.855775462966</v>
      </c>
      <c r="B23" s="134" t="s">
        <v>431</v>
      </c>
      <c r="C23" s="134" t="s">
        <v>493</v>
      </c>
      <c r="D23" s="165">
        <v>46093.999988425923</v>
      </c>
      <c r="E23" s="165">
        <v>46084.329965277779</v>
      </c>
      <c r="F23" s="134" t="s">
        <v>494</v>
      </c>
      <c r="G23">
        <v>4069518106389</v>
      </c>
      <c r="H23" s="134" t="s">
        <v>495</v>
      </c>
      <c r="I23" s="134" t="s">
        <v>202</v>
      </c>
      <c r="J23">
        <v>0</v>
      </c>
      <c r="K23">
        <v>0</v>
      </c>
    </row>
    <row r="24" spans="1:11" x14ac:dyDescent="0.2">
      <c r="A24" s="165">
        <v>46082.697372685187</v>
      </c>
      <c r="B24" s="134" t="s">
        <v>496</v>
      </c>
      <c r="C24" s="134" t="s">
        <v>497</v>
      </c>
      <c r="D24" s="165">
        <v>46093.134918981479</v>
      </c>
      <c r="E24" s="165">
        <v>46090.639120370368</v>
      </c>
      <c r="F24" s="134" t="s">
        <v>115</v>
      </c>
      <c r="G24">
        <v>4069518512890</v>
      </c>
      <c r="H24" s="134" t="s">
        <v>498</v>
      </c>
      <c r="I24" s="134" t="s">
        <v>116</v>
      </c>
      <c r="J24">
        <v>0</v>
      </c>
      <c r="K24">
        <v>0</v>
      </c>
    </row>
    <row r="25" spans="1:11" x14ac:dyDescent="0.2">
      <c r="A25" s="165">
        <v>46081.38894675926</v>
      </c>
      <c r="B25" s="134" t="s">
        <v>499</v>
      </c>
      <c r="C25" s="134" t="s">
        <v>500</v>
      </c>
      <c r="D25" s="165">
        <v>46095.075844907406</v>
      </c>
      <c r="E25" s="165">
        <v>46092.649560185186</v>
      </c>
      <c r="F25" s="134" t="s">
        <v>501</v>
      </c>
      <c r="G25">
        <v>4069518470299</v>
      </c>
      <c r="H25" s="134" t="s">
        <v>502</v>
      </c>
      <c r="I25" s="134" t="s">
        <v>358</v>
      </c>
      <c r="J25">
        <v>0</v>
      </c>
      <c r="K25">
        <v>0</v>
      </c>
    </row>
    <row r="26" spans="1:11" x14ac:dyDescent="0.2">
      <c r="A26" s="165">
        <v>46080.661527777775</v>
      </c>
      <c r="B26" s="134" t="s">
        <v>503</v>
      </c>
      <c r="C26" s="134" t="s">
        <v>504</v>
      </c>
      <c r="D26" s="165">
        <v>46094.237592592595</v>
      </c>
      <c r="E26" s="165">
        <v>46093.354259259257</v>
      </c>
      <c r="F26" s="134" t="s">
        <v>505</v>
      </c>
      <c r="G26">
        <v>4069518105672</v>
      </c>
      <c r="H26" s="134" t="s">
        <v>506</v>
      </c>
      <c r="I26" s="134" t="s">
        <v>201</v>
      </c>
      <c r="J26">
        <v>0</v>
      </c>
      <c r="K26">
        <v>0</v>
      </c>
    </row>
    <row r="27" spans="1:11" x14ac:dyDescent="0.2">
      <c r="A27" s="165">
        <v>46079.925682870373</v>
      </c>
      <c r="B27" s="134" t="s">
        <v>507</v>
      </c>
      <c r="C27" s="134" t="s">
        <v>508</v>
      </c>
      <c r="D27" s="165">
        <v>46087.296597222223</v>
      </c>
      <c r="E27" s="165">
        <v>46085.531423611108</v>
      </c>
      <c r="F27" s="134" t="s">
        <v>509</v>
      </c>
      <c r="G27">
        <v>4069518342107</v>
      </c>
      <c r="H27" s="134" t="s">
        <v>510</v>
      </c>
      <c r="I27" s="134" t="s">
        <v>282</v>
      </c>
      <c r="J27">
        <v>0</v>
      </c>
      <c r="K27">
        <v>0</v>
      </c>
    </row>
    <row r="28" spans="1:11" x14ac:dyDescent="0.2">
      <c r="A28" s="165">
        <v>46079.777719907404</v>
      </c>
      <c r="B28" s="134" t="s">
        <v>511</v>
      </c>
      <c r="C28" s="134" t="s">
        <v>512</v>
      </c>
      <c r="D28" s="165">
        <v>46087.295902777776</v>
      </c>
      <c r="E28" s="165">
        <v>46085.531423611108</v>
      </c>
      <c r="F28" s="134" t="s">
        <v>513</v>
      </c>
      <c r="G28">
        <v>4069518379776</v>
      </c>
      <c r="H28" s="134" t="s">
        <v>514</v>
      </c>
      <c r="I28" s="134" t="s">
        <v>290</v>
      </c>
      <c r="J28">
        <v>0</v>
      </c>
      <c r="K28">
        <v>0</v>
      </c>
    </row>
    <row r="29" spans="1:11" x14ac:dyDescent="0.2">
      <c r="A29" s="165">
        <v>46079.670266203706</v>
      </c>
      <c r="B29" s="134" t="s">
        <v>515</v>
      </c>
      <c r="C29" s="134" t="s">
        <v>516</v>
      </c>
      <c r="D29" s="165">
        <v>46091.125324074077</v>
      </c>
      <c r="E29" s="165">
        <v>46090.410011574073</v>
      </c>
      <c r="F29" s="134" t="s">
        <v>517</v>
      </c>
      <c r="G29">
        <v>4069518328989</v>
      </c>
      <c r="H29" s="134" t="s">
        <v>518</v>
      </c>
      <c r="I29" s="134" t="s">
        <v>277</v>
      </c>
      <c r="J29">
        <v>0</v>
      </c>
      <c r="K29">
        <v>0</v>
      </c>
    </row>
    <row r="30" spans="1:11" x14ac:dyDescent="0.2">
      <c r="A30" s="165">
        <v>46078.381643518522</v>
      </c>
      <c r="B30" s="134" t="s">
        <v>519</v>
      </c>
      <c r="C30" s="134" t="s">
        <v>520</v>
      </c>
      <c r="D30" s="165">
        <v>46093.134270833332</v>
      </c>
      <c r="E30" s="165">
        <v>46091.496759259258</v>
      </c>
      <c r="F30" s="134" t="s">
        <v>521</v>
      </c>
      <c r="G30">
        <v>4069518466582</v>
      </c>
      <c r="H30" s="134" t="s">
        <v>522</v>
      </c>
      <c r="I30" s="134" t="s">
        <v>343</v>
      </c>
      <c r="J30">
        <v>0</v>
      </c>
      <c r="K30">
        <v>0</v>
      </c>
    </row>
    <row r="31" spans="1:11" x14ac:dyDescent="0.2">
      <c r="A31" s="165">
        <v>46076.383402777778</v>
      </c>
      <c r="B31" s="134" t="s">
        <v>523</v>
      </c>
      <c r="C31" s="134" t="s">
        <v>524</v>
      </c>
      <c r="D31" s="165">
        <v>46083.318078703705</v>
      </c>
      <c r="E31" s="165">
        <v>46081.399375000001</v>
      </c>
      <c r="F31" s="134" t="s">
        <v>525</v>
      </c>
      <c r="G31">
        <v>741575657724</v>
      </c>
      <c r="H31" s="134" t="s">
        <v>526</v>
      </c>
      <c r="I31" s="134" t="s">
        <v>527</v>
      </c>
      <c r="J31">
        <v>0</v>
      </c>
      <c r="K31">
        <v>0</v>
      </c>
    </row>
    <row r="32" spans="1:11" x14ac:dyDescent="0.2">
      <c r="A32" s="165">
        <v>46075.867152777777</v>
      </c>
      <c r="B32" s="134" t="s">
        <v>528</v>
      </c>
      <c r="C32" s="134" t="s">
        <v>529</v>
      </c>
      <c r="D32" s="165">
        <v>46086.048796296294</v>
      </c>
      <c r="E32" s="165">
        <v>46084.61824074074</v>
      </c>
      <c r="F32" s="134" t="s">
        <v>530</v>
      </c>
      <c r="G32">
        <v>4069518142783</v>
      </c>
      <c r="H32" s="134" t="s">
        <v>531</v>
      </c>
      <c r="I32" s="134" t="s">
        <v>532</v>
      </c>
      <c r="J32">
        <v>1</v>
      </c>
      <c r="K32">
        <v>0</v>
      </c>
    </row>
    <row r="33" spans="1:11" x14ac:dyDescent="0.2">
      <c r="A33" s="165">
        <v>46075.624699074076</v>
      </c>
      <c r="B33" s="134" t="s">
        <v>533</v>
      </c>
      <c r="C33" s="134" t="s">
        <v>534</v>
      </c>
      <c r="D33" s="165">
        <v>46081.307685185187</v>
      </c>
      <c r="E33" s="165">
        <v>46080.448101851849</v>
      </c>
      <c r="F33" s="134" t="s">
        <v>535</v>
      </c>
      <c r="G33">
        <v>4069518415399</v>
      </c>
      <c r="H33" s="134" t="s">
        <v>536</v>
      </c>
      <c r="I33" s="134" t="s">
        <v>318</v>
      </c>
      <c r="J33">
        <v>0</v>
      </c>
      <c r="K33">
        <v>0</v>
      </c>
    </row>
    <row r="34" spans="1:11" x14ac:dyDescent="0.2">
      <c r="A34" s="165">
        <v>46075.62259259259</v>
      </c>
      <c r="B34" s="134" t="s">
        <v>431</v>
      </c>
      <c r="C34" s="134" t="s">
        <v>431</v>
      </c>
      <c r="D34" s="165">
        <v>46086.999988425923</v>
      </c>
      <c r="E34" s="165">
        <v>46075.708425925928</v>
      </c>
      <c r="F34" s="134" t="s">
        <v>535</v>
      </c>
      <c r="G34">
        <v>4069518415399</v>
      </c>
      <c r="H34" s="134" t="s">
        <v>537</v>
      </c>
      <c r="I34" s="134" t="s">
        <v>318</v>
      </c>
      <c r="J34">
        <v>0</v>
      </c>
      <c r="K34">
        <v>0</v>
      </c>
    </row>
    <row r="35" spans="1:11" x14ac:dyDescent="0.2">
      <c r="A35" s="165">
        <v>46075.39130787037</v>
      </c>
      <c r="B35" s="134" t="s">
        <v>538</v>
      </c>
      <c r="C35" s="134" t="s">
        <v>539</v>
      </c>
      <c r="D35" s="165">
        <v>46088.038460648146</v>
      </c>
      <c r="E35" s="165">
        <v>46086.670231481483</v>
      </c>
      <c r="F35" s="134" t="s">
        <v>109</v>
      </c>
      <c r="G35">
        <v>4069518471739</v>
      </c>
      <c r="H35" s="134" t="s">
        <v>540</v>
      </c>
      <c r="I35" s="134" t="s">
        <v>110</v>
      </c>
      <c r="J35">
        <v>0</v>
      </c>
      <c r="K35">
        <v>0</v>
      </c>
    </row>
    <row r="36" spans="1:11" x14ac:dyDescent="0.2">
      <c r="A36" s="165">
        <v>46074.633009259262</v>
      </c>
      <c r="B36" s="134" t="s">
        <v>431</v>
      </c>
      <c r="C36" s="134" t="s">
        <v>541</v>
      </c>
      <c r="D36" s="165">
        <v>46085.999988425923</v>
      </c>
      <c r="E36" s="165">
        <v>46076.559074074074</v>
      </c>
      <c r="F36" s="134" t="s">
        <v>542</v>
      </c>
      <c r="G36">
        <v>4069518107102</v>
      </c>
      <c r="H36" s="134" t="s">
        <v>543</v>
      </c>
      <c r="I36" s="134" t="s">
        <v>203</v>
      </c>
      <c r="J36">
        <v>1</v>
      </c>
      <c r="K36">
        <v>0</v>
      </c>
    </row>
    <row r="37" spans="1:11" x14ac:dyDescent="0.2">
      <c r="A37" s="165">
        <v>46074.35864583333</v>
      </c>
      <c r="B37" s="134" t="s">
        <v>544</v>
      </c>
      <c r="C37" s="134" t="s">
        <v>545</v>
      </c>
      <c r="D37" s="165">
        <v>46083.316053240742</v>
      </c>
      <c r="E37" s="165">
        <v>46086.777928240743</v>
      </c>
      <c r="F37" s="134" t="s">
        <v>546</v>
      </c>
      <c r="G37">
        <v>741575680074</v>
      </c>
      <c r="H37" s="134" t="s">
        <v>547</v>
      </c>
      <c r="I37" s="134" t="s">
        <v>147</v>
      </c>
      <c r="J37">
        <v>1</v>
      </c>
      <c r="K37">
        <v>0</v>
      </c>
    </row>
    <row r="38" spans="1:11" x14ac:dyDescent="0.2">
      <c r="A38" s="165">
        <v>46073.896493055552</v>
      </c>
      <c r="B38" s="134" t="s">
        <v>544</v>
      </c>
      <c r="C38" s="134" t="s">
        <v>548</v>
      </c>
      <c r="D38" s="165">
        <v>46083.316053240742</v>
      </c>
      <c r="E38" s="165">
        <v>46081.527812499997</v>
      </c>
      <c r="F38" s="134" t="s">
        <v>549</v>
      </c>
      <c r="G38">
        <v>4069518057056</v>
      </c>
      <c r="H38" s="134" t="s">
        <v>550</v>
      </c>
      <c r="I38" s="134" t="s">
        <v>171</v>
      </c>
      <c r="J38">
        <v>0</v>
      </c>
      <c r="K38">
        <v>0</v>
      </c>
    </row>
    <row r="39" spans="1:11" x14ac:dyDescent="0.2">
      <c r="A39" s="165">
        <v>46073.876076388886</v>
      </c>
      <c r="B39" s="134" t="s">
        <v>551</v>
      </c>
      <c r="C39" s="134" t="s">
        <v>552</v>
      </c>
      <c r="D39" s="165">
        <v>46088.039039351854</v>
      </c>
      <c r="E39" s="165">
        <v>46086.427210648151</v>
      </c>
      <c r="F39" s="134" t="s">
        <v>553</v>
      </c>
      <c r="G39">
        <v>4069518471357</v>
      </c>
      <c r="H39" s="134" t="s">
        <v>554</v>
      </c>
      <c r="I39" s="134" t="s">
        <v>364</v>
      </c>
      <c r="J39">
        <v>0</v>
      </c>
      <c r="K39">
        <v>0</v>
      </c>
    </row>
    <row r="40" spans="1:11" x14ac:dyDescent="0.2">
      <c r="A40" s="165">
        <v>46073.876076388886</v>
      </c>
      <c r="B40" s="134" t="s">
        <v>551</v>
      </c>
      <c r="C40" s="134" t="s">
        <v>552</v>
      </c>
      <c r="D40" s="165">
        <v>46088.039039351854</v>
      </c>
      <c r="E40" s="165">
        <v>46086.427210648151</v>
      </c>
      <c r="F40" s="134" t="s">
        <v>553</v>
      </c>
      <c r="G40">
        <v>4069518471357</v>
      </c>
      <c r="H40" s="134" t="s">
        <v>554</v>
      </c>
      <c r="I40" s="134" t="s">
        <v>364</v>
      </c>
      <c r="J40">
        <v>0</v>
      </c>
      <c r="K40">
        <v>0</v>
      </c>
    </row>
    <row r="41" spans="1:11" x14ac:dyDescent="0.2">
      <c r="A41" s="165">
        <v>46072.710752314815</v>
      </c>
      <c r="B41" s="134" t="s">
        <v>533</v>
      </c>
      <c r="C41" s="134" t="s">
        <v>555</v>
      </c>
      <c r="D41" s="165">
        <v>46081.307685185187</v>
      </c>
      <c r="E41" s="165">
        <v>46080.541817129626</v>
      </c>
      <c r="F41" s="134" t="s">
        <v>556</v>
      </c>
      <c r="G41">
        <v>4069518261446</v>
      </c>
      <c r="H41" s="134" t="s">
        <v>557</v>
      </c>
      <c r="I41" s="134" t="s">
        <v>261</v>
      </c>
      <c r="J41">
        <v>0</v>
      </c>
      <c r="K41">
        <v>0</v>
      </c>
    </row>
    <row r="42" spans="1:11" x14ac:dyDescent="0.2">
      <c r="A42" s="165">
        <v>46072.475300925929</v>
      </c>
      <c r="B42" s="134" t="s">
        <v>558</v>
      </c>
      <c r="C42" s="134" t="s">
        <v>559</v>
      </c>
      <c r="D42" s="165">
        <v>46080.304201388892</v>
      </c>
      <c r="E42" s="165">
        <v>46078.826481481483</v>
      </c>
      <c r="F42" s="134" t="s">
        <v>560</v>
      </c>
      <c r="G42">
        <v>4069518056837</v>
      </c>
      <c r="H42" s="134" t="s">
        <v>561</v>
      </c>
      <c r="I42" s="134" t="s">
        <v>168</v>
      </c>
      <c r="J42">
        <v>0</v>
      </c>
      <c r="K42">
        <v>0</v>
      </c>
    </row>
    <row r="43" spans="1:11" x14ac:dyDescent="0.2">
      <c r="A43" s="165">
        <v>46071.8671875</v>
      </c>
      <c r="B43" s="134" t="s">
        <v>562</v>
      </c>
      <c r="C43" s="134" t="s">
        <v>563</v>
      </c>
      <c r="D43" s="165">
        <v>46079.247256944444</v>
      </c>
      <c r="E43" s="165">
        <v>46083.007060185184</v>
      </c>
      <c r="F43" s="134" t="s">
        <v>564</v>
      </c>
      <c r="G43">
        <v>4069518242766</v>
      </c>
      <c r="H43" s="134" t="s">
        <v>565</v>
      </c>
      <c r="I43" s="134" t="s">
        <v>229</v>
      </c>
      <c r="J43">
        <v>1</v>
      </c>
      <c r="K43">
        <v>0</v>
      </c>
    </row>
    <row r="44" spans="1:11" x14ac:dyDescent="0.2">
      <c r="A44" s="165">
        <v>46069.658252314817</v>
      </c>
      <c r="B44" s="134" t="s">
        <v>566</v>
      </c>
      <c r="C44" s="134" t="s">
        <v>567</v>
      </c>
      <c r="D44" s="165">
        <v>46079.511840277781</v>
      </c>
      <c r="E44" s="165">
        <v>46094.475868055553</v>
      </c>
      <c r="F44" s="134" t="s">
        <v>568</v>
      </c>
      <c r="G44">
        <v>4069518033166</v>
      </c>
      <c r="H44" s="134" t="s">
        <v>569</v>
      </c>
      <c r="I44" s="134" t="s">
        <v>198</v>
      </c>
      <c r="J44">
        <v>0</v>
      </c>
      <c r="K44">
        <v>0</v>
      </c>
    </row>
    <row r="45" spans="1:11" x14ac:dyDescent="0.2">
      <c r="A45" s="165">
        <v>46068.820983796293</v>
      </c>
      <c r="B45" s="134" t="s">
        <v>570</v>
      </c>
      <c r="C45" s="134" t="s">
        <v>571</v>
      </c>
      <c r="D45" s="165">
        <v>46079.298009259262</v>
      </c>
      <c r="E45" s="165">
        <v>46078.656354166669</v>
      </c>
      <c r="F45" s="134" t="s">
        <v>572</v>
      </c>
      <c r="G45">
        <v>4069518139462</v>
      </c>
      <c r="H45" s="134" t="s">
        <v>573</v>
      </c>
      <c r="I45" s="134" t="s">
        <v>207</v>
      </c>
      <c r="J45">
        <v>0</v>
      </c>
      <c r="K45">
        <v>0</v>
      </c>
    </row>
    <row r="46" spans="1:11" x14ac:dyDescent="0.2">
      <c r="A46" s="165">
        <v>46068.672337962962</v>
      </c>
      <c r="B46" s="134" t="s">
        <v>574</v>
      </c>
      <c r="C46" s="134" t="s">
        <v>575</v>
      </c>
      <c r="D46" s="165">
        <v>46083.929363425923</v>
      </c>
      <c r="E46" s="165">
        <v>46091.760462962964</v>
      </c>
      <c r="F46" s="134" t="s">
        <v>576</v>
      </c>
      <c r="G46">
        <v>4069518328996</v>
      </c>
      <c r="H46" s="134" t="s">
        <v>577</v>
      </c>
      <c r="I46" s="134" t="s">
        <v>278</v>
      </c>
      <c r="J46">
        <v>0</v>
      </c>
      <c r="K46">
        <v>0</v>
      </c>
    </row>
    <row r="47" spans="1:11" x14ac:dyDescent="0.2">
      <c r="A47" s="165">
        <v>46068.560624999998</v>
      </c>
      <c r="B47" s="134" t="s">
        <v>578</v>
      </c>
      <c r="C47" s="134" t="s">
        <v>579</v>
      </c>
      <c r="D47" s="165">
        <v>46076.311145833337</v>
      </c>
      <c r="E47" s="165">
        <v>46073.652858796297</v>
      </c>
      <c r="F47" s="134" t="s">
        <v>580</v>
      </c>
      <c r="G47">
        <v>4069518242797</v>
      </c>
      <c r="H47" s="134" t="s">
        <v>581</v>
      </c>
      <c r="I47" s="134" t="s">
        <v>230</v>
      </c>
      <c r="J47">
        <v>0</v>
      </c>
      <c r="K47">
        <v>0</v>
      </c>
    </row>
    <row r="48" spans="1:11" x14ac:dyDescent="0.2">
      <c r="A48" s="165">
        <v>46068.412222222221</v>
      </c>
      <c r="B48" s="134" t="s">
        <v>582</v>
      </c>
      <c r="C48" s="134" t="s">
        <v>583</v>
      </c>
      <c r="D48" s="165">
        <v>46079.182662037034</v>
      </c>
      <c r="E48" s="165">
        <v>46077.656377314815</v>
      </c>
      <c r="F48" s="134" t="s">
        <v>584</v>
      </c>
      <c r="G48">
        <v>4069518183731</v>
      </c>
      <c r="H48" s="134" t="s">
        <v>585</v>
      </c>
      <c r="I48" s="134" t="s">
        <v>218</v>
      </c>
      <c r="J48">
        <v>1</v>
      </c>
      <c r="K48">
        <v>0</v>
      </c>
    </row>
    <row r="49" spans="1:11" x14ac:dyDescent="0.2">
      <c r="A49" s="165">
        <v>46067.936562499999</v>
      </c>
      <c r="B49" s="134" t="s">
        <v>586</v>
      </c>
      <c r="C49" s="134" t="s">
        <v>587</v>
      </c>
      <c r="D49" s="165">
        <v>46079.087523148148</v>
      </c>
      <c r="E49" s="165">
        <v>46077.489722222221</v>
      </c>
      <c r="F49" s="134" t="s">
        <v>588</v>
      </c>
      <c r="G49">
        <v>4069518382899</v>
      </c>
      <c r="H49" s="134" t="s">
        <v>589</v>
      </c>
      <c r="I49" s="134" t="s">
        <v>292</v>
      </c>
      <c r="J49">
        <v>0</v>
      </c>
      <c r="K49">
        <v>0</v>
      </c>
    </row>
    <row r="50" spans="1:11" x14ac:dyDescent="0.2">
      <c r="A50" s="165">
        <v>46067.511689814812</v>
      </c>
      <c r="B50" s="134" t="s">
        <v>590</v>
      </c>
      <c r="C50" s="134" t="s">
        <v>591</v>
      </c>
      <c r="D50" s="165">
        <v>46086.114803240744</v>
      </c>
      <c r="E50" s="165">
        <v>46084.573020833333</v>
      </c>
      <c r="F50" s="134" t="s">
        <v>592</v>
      </c>
      <c r="G50">
        <v>4069518465851</v>
      </c>
      <c r="H50" s="134" t="s">
        <v>593</v>
      </c>
      <c r="I50" s="134" t="s">
        <v>338</v>
      </c>
      <c r="J50">
        <v>0</v>
      </c>
      <c r="K50">
        <v>0</v>
      </c>
    </row>
    <row r="51" spans="1:11" x14ac:dyDescent="0.2">
      <c r="A51" s="165">
        <v>46065.54791666667</v>
      </c>
      <c r="B51" s="134" t="s">
        <v>594</v>
      </c>
      <c r="C51" s="134" t="s">
        <v>595</v>
      </c>
      <c r="D51" s="165">
        <v>46079.243206018517</v>
      </c>
      <c r="E51" s="165">
        <v>46077.482800925929</v>
      </c>
      <c r="F51" s="134" t="s">
        <v>596</v>
      </c>
      <c r="G51">
        <v>4069518382950</v>
      </c>
      <c r="H51" s="134" t="s">
        <v>597</v>
      </c>
      <c r="I51" s="134" t="s">
        <v>293</v>
      </c>
      <c r="J51">
        <v>0</v>
      </c>
      <c r="K51">
        <v>0</v>
      </c>
    </row>
    <row r="52" spans="1:11" x14ac:dyDescent="0.2">
      <c r="A52" s="165">
        <v>46064.669675925928</v>
      </c>
      <c r="B52" s="134" t="s">
        <v>598</v>
      </c>
      <c r="C52" s="134" t="s">
        <v>599</v>
      </c>
      <c r="D52" s="165">
        <v>46073.298645833333</v>
      </c>
      <c r="E52" s="165">
        <v>46071.569571759261</v>
      </c>
      <c r="F52" s="134" t="s">
        <v>600</v>
      </c>
      <c r="G52">
        <v>4069518392713</v>
      </c>
      <c r="H52" s="134" t="s">
        <v>601</v>
      </c>
      <c r="I52" s="134" t="s">
        <v>303</v>
      </c>
      <c r="J52">
        <v>0</v>
      </c>
      <c r="K52">
        <v>0</v>
      </c>
    </row>
    <row r="53" spans="1:11" x14ac:dyDescent="0.2">
      <c r="A53" s="165">
        <v>46062.60019675926</v>
      </c>
      <c r="B53" s="134" t="s">
        <v>602</v>
      </c>
      <c r="C53" s="134" t="s">
        <v>603</v>
      </c>
      <c r="D53" s="165">
        <v>46069.304918981485</v>
      </c>
      <c r="E53" s="165">
        <v>46084.392442129632</v>
      </c>
      <c r="F53" s="134" t="s">
        <v>604</v>
      </c>
      <c r="G53">
        <v>4069518339589</v>
      </c>
      <c r="H53" s="134" t="s">
        <v>605</v>
      </c>
      <c r="I53" s="134" t="s">
        <v>280</v>
      </c>
      <c r="J53">
        <v>0</v>
      </c>
      <c r="K53">
        <v>0</v>
      </c>
    </row>
    <row r="54" spans="1:11" x14ac:dyDescent="0.2">
      <c r="A54" s="165">
        <v>46061.522476851853</v>
      </c>
      <c r="B54" s="134" t="s">
        <v>606</v>
      </c>
      <c r="C54" s="134" t="s">
        <v>607</v>
      </c>
      <c r="D54" s="165">
        <v>46072.249351851853</v>
      </c>
      <c r="E54" s="165">
        <v>46070.698020833333</v>
      </c>
      <c r="F54" s="134" t="s">
        <v>483</v>
      </c>
      <c r="G54">
        <v>4069518387269</v>
      </c>
      <c r="H54" s="134" t="s">
        <v>608</v>
      </c>
      <c r="I54" s="134" t="s">
        <v>296</v>
      </c>
      <c r="J54">
        <v>0</v>
      </c>
      <c r="K54">
        <v>0</v>
      </c>
    </row>
    <row r="55" spans="1:11" x14ac:dyDescent="0.2">
      <c r="A55" s="165">
        <v>46061.513101851851</v>
      </c>
      <c r="B55" s="134" t="s">
        <v>609</v>
      </c>
      <c r="C55" s="134" t="s">
        <v>610</v>
      </c>
      <c r="D55" s="165">
        <v>46069.304201388892</v>
      </c>
      <c r="E55" s="165">
        <v>46066.611250000002</v>
      </c>
      <c r="F55" s="134" t="s">
        <v>611</v>
      </c>
      <c r="G55">
        <v>4069518466490</v>
      </c>
      <c r="H55" s="134" t="s">
        <v>612</v>
      </c>
      <c r="I55" s="134" t="s">
        <v>340</v>
      </c>
      <c r="J55">
        <v>0</v>
      </c>
      <c r="K55">
        <v>0</v>
      </c>
    </row>
    <row r="56" spans="1:11" x14ac:dyDescent="0.2">
      <c r="A56" s="165">
        <v>46060.676099537035</v>
      </c>
      <c r="B56" s="134" t="s">
        <v>613</v>
      </c>
      <c r="C56" s="134" t="s">
        <v>614</v>
      </c>
      <c r="D56" s="165">
        <v>46074.249398148146</v>
      </c>
      <c r="E56" s="165">
        <v>46072.336944444447</v>
      </c>
      <c r="F56" s="134" t="s">
        <v>615</v>
      </c>
      <c r="G56">
        <v>4069518507964</v>
      </c>
      <c r="H56" s="134" t="s">
        <v>616</v>
      </c>
      <c r="I56" s="134" t="s">
        <v>394</v>
      </c>
      <c r="J56">
        <v>0</v>
      </c>
      <c r="K56">
        <v>0</v>
      </c>
    </row>
    <row r="57" spans="1:11" x14ac:dyDescent="0.2">
      <c r="A57" s="165">
        <v>46058.407650462963</v>
      </c>
      <c r="B57" s="134" t="s">
        <v>617</v>
      </c>
      <c r="C57" s="134" t="s">
        <v>618</v>
      </c>
      <c r="D57" s="165">
        <v>46073.077326388891</v>
      </c>
      <c r="E57" s="165">
        <v>46070.597314814811</v>
      </c>
      <c r="F57" s="134" t="s">
        <v>619</v>
      </c>
      <c r="G57">
        <v>4069518329207</v>
      </c>
      <c r="H57" s="134" t="s">
        <v>620</v>
      </c>
      <c r="I57" s="134" t="s">
        <v>279</v>
      </c>
      <c r="J57">
        <v>0</v>
      </c>
      <c r="K57">
        <v>0</v>
      </c>
    </row>
    <row r="58" spans="1:11" x14ac:dyDescent="0.2">
      <c r="A58" s="165">
        <v>46054.619571759256</v>
      </c>
      <c r="B58" s="134" t="s">
        <v>621</v>
      </c>
      <c r="C58" s="134" t="s">
        <v>622</v>
      </c>
      <c r="D58" s="165">
        <v>46065.226423611108</v>
      </c>
      <c r="E58" s="165">
        <v>46094.080324074072</v>
      </c>
      <c r="F58" s="134" t="s">
        <v>623</v>
      </c>
      <c r="G58">
        <v>4069518406540</v>
      </c>
      <c r="H58" s="134" t="s">
        <v>624</v>
      </c>
      <c r="I58" s="134" t="s">
        <v>310</v>
      </c>
      <c r="J58">
        <v>0</v>
      </c>
      <c r="K58">
        <v>0</v>
      </c>
    </row>
    <row r="59" spans="1:11" x14ac:dyDescent="0.2">
      <c r="A59" s="165">
        <v>46052.907870370371</v>
      </c>
      <c r="B59" s="134" t="s">
        <v>625</v>
      </c>
      <c r="C59" s="134" t="s">
        <v>626</v>
      </c>
      <c r="D59" s="165">
        <v>46060.298645833333</v>
      </c>
      <c r="E59" s="165">
        <v>46089.080312500002</v>
      </c>
      <c r="F59" s="134" t="s">
        <v>627</v>
      </c>
      <c r="G59">
        <v>4069518055984</v>
      </c>
      <c r="H59" s="134" t="s">
        <v>628</v>
      </c>
      <c r="I59" s="134" t="s">
        <v>166</v>
      </c>
      <c r="J59">
        <v>1</v>
      </c>
      <c r="K59">
        <v>0</v>
      </c>
    </row>
    <row r="60" spans="1:11" x14ac:dyDescent="0.2">
      <c r="A60" s="165">
        <v>46048.534953703704</v>
      </c>
      <c r="B60" s="134" t="s">
        <v>431</v>
      </c>
      <c r="C60" s="134" t="s">
        <v>431</v>
      </c>
      <c r="D60" s="165">
        <v>46057.999988425923</v>
      </c>
      <c r="E60" s="165">
        <v>46048.621574074074</v>
      </c>
      <c r="F60" s="134" t="s">
        <v>472</v>
      </c>
      <c r="G60">
        <v>4069518196502</v>
      </c>
      <c r="H60" s="134" t="s">
        <v>629</v>
      </c>
      <c r="I60" s="134" t="s">
        <v>220</v>
      </c>
      <c r="J60">
        <v>1</v>
      </c>
      <c r="K60">
        <v>0</v>
      </c>
    </row>
    <row r="61" spans="1:11" x14ac:dyDescent="0.2">
      <c r="A61" s="165">
        <v>46047.53324074074</v>
      </c>
      <c r="B61" s="134" t="s">
        <v>630</v>
      </c>
      <c r="C61" s="134" t="s">
        <v>631</v>
      </c>
      <c r="D61" s="165">
        <v>46059.472962962966</v>
      </c>
      <c r="E61" s="165">
        <v>46087.080416666664</v>
      </c>
      <c r="F61" s="134" t="s">
        <v>632</v>
      </c>
      <c r="G61">
        <v>4069518402726</v>
      </c>
      <c r="H61" s="134" t="s">
        <v>633</v>
      </c>
      <c r="I61" s="134" t="s">
        <v>306</v>
      </c>
      <c r="J61">
        <v>0</v>
      </c>
      <c r="K61">
        <v>0</v>
      </c>
    </row>
    <row r="62" spans="1:11" x14ac:dyDescent="0.2">
      <c r="A62" s="165">
        <v>46046.558379629627</v>
      </c>
      <c r="B62" s="134" t="s">
        <v>634</v>
      </c>
      <c r="C62" s="134" t="s">
        <v>635</v>
      </c>
      <c r="D62" s="165">
        <v>46053.211192129631</v>
      </c>
      <c r="E62" s="165">
        <v>46086.080081018517</v>
      </c>
      <c r="F62" s="134" t="s">
        <v>636</v>
      </c>
      <c r="G62">
        <v>741575663732</v>
      </c>
      <c r="H62" s="134" t="s">
        <v>637</v>
      </c>
      <c r="I62" s="134" t="s">
        <v>136</v>
      </c>
      <c r="J62">
        <v>1</v>
      </c>
      <c r="K62">
        <v>0</v>
      </c>
    </row>
    <row r="63" spans="1:11" x14ac:dyDescent="0.2">
      <c r="A63" s="165">
        <v>46045.851550925923</v>
      </c>
      <c r="B63" s="134" t="s">
        <v>638</v>
      </c>
      <c r="C63" s="134" t="s">
        <v>639</v>
      </c>
      <c r="D63" s="165">
        <v>46052.129988425928</v>
      </c>
      <c r="E63" s="165">
        <v>46057.468877314815</v>
      </c>
      <c r="F63" s="134" t="s">
        <v>640</v>
      </c>
      <c r="G63">
        <v>4069518471876</v>
      </c>
      <c r="H63" s="134" t="s">
        <v>641</v>
      </c>
      <c r="I63" s="134" t="s">
        <v>373</v>
      </c>
      <c r="J63">
        <v>0</v>
      </c>
      <c r="K63">
        <v>0</v>
      </c>
    </row>
    <row r="64" spans="1:11" x14ac:dyDescent="0.2">
      <c r="A64" s="165">
        <v>46043.698888888888</v>
      </c>
      <c r="B64" s="134" t="s">
        <v>642</v>
      </c>
      <c r="C64" s="134" t="s">
        <v>643</v>
      </c>
      <c r="D64" s="165">
        <v>46052.129317129627</v>
      </c>
      <c r="E64" s="165">
        <v>46081.080034722225</v>
      </c>
      <c r="F64" s="134" t="s">
        <v>644</v>
      </c>
      <c r="G64">
        <v>4069518013090</v>
      </c>
      <c r="H64" s="134" t="s">
        <v>645</v>
      </c>
      <c r="I64" s="134" t="s">
        <v>187</v>
      </c>
      <c r="J64">
        <v>0</v>
      </c>
      <c r="K64">
        <v>0</v>
      </c>
    </row>
    <row r="65" spans="1:11" x14ac:dyDescent="0.2">
      <c r="A65" s="165">
        <v>46042.609826388885</v>
      </c>
      <c r="B65" s="134" t="s">
        <v>646</v>
      </c>
      <c r="C65" s="134" t="s">
        <v>647</v>
      </c>
      <c r="D65" s="165">
        <v>46049.026423611111</v>
      </c>
      <c r="E65" s="165">
        <v>46080.080081018517</v>
      </c>
      <c r="F65" s="134" t="s">
        <v>648</v>
      </c>
      <c r="G65">
        <v>4069518242018</v>
      </c>
      <c r="H65" s="134" t="s">
        <v>649</v>
      </c>
      <c r="I65" s="134" t="s">
        <v>221</v>
      </c>
      <c r="J65">
        <v>0</v>
      </c>
      <c r="K65">
        <v>0</v>
      </c>
    </row>
    <row r="66" spans="1:11" x14ac:dyDescent="0.2">
      <c r="A66" s="165">
        <v>46041.785393518519</v>
      </c>
      <c r="B66" s="134" t="s">
        <v>650</v>
      </c>
      <c r="C66" s="134" t="s">
        <v>651</v>
      </c>
      <c r="D66" s="165">
        <v>46049.184837962966</v>
      </c>
      <c r="E66" s="165">
        <v>46079.080104166664</v>
      </c>
      <c r="F66" s="134" t="s">
        <v>652</v>
      </c>
      <c r="G66">
        <v>4069518476741</v>
      </c>
      <c r="H66" s="134" t="s">
        <v>653</v>
      </c>
      <c r="I66" s="134" t="s">
        <v>381</v>
      </c>
      <c r="J66">
        <v>0</v>
      </c>
      <c r="K66">
        <v>0</v>
      </c>
    </row>
    <row r="67" spans="1:11" x14ac:dyDescent="0.2">
      <c r="A67" s="165">
        <v>46041.58315972222</v>
      </c>
      <c r="B67" s="134" t="s">
        <v>654</v>
      </c>
      <c r="C67" s="134" t="s">
        <v>655</v>
      </c>
      <c r="D67" s="165">
        <v>46048.240474537037</v>
      </c>
      <c r="E67" s="165">
        <v>46076.080150462964</v>
      </c>
      <c r="F67" s="134" t="s">
        <v>656</v>
      </c>
      <c r="G67">
        <v>4069518145630</v>
      </c>
      <c r="H67" s="134" t="s">
        <v>657</v>
      </c>
      <c r="I67" s="134" t="s">
        <v>214</v>
      </c>
      <c r="J67">
        <v>0</v>
      </c>
      <c r="K67">
        <v>0</v>
      </c>
    </row>
    <row r="68" spans="1:11" x14ac:dyDescent="0.2">
      <c r="A68" s="165">
        <v>46041.511412037034</v>
      </c>
      <c r="B68" s="134" t="s">
        <v>658</v>
      </c>
      <c r="C68" s="134" t="s">
        <v>659</v>
      </c>
      <c r="D68" s="165">
        <v>46048.240486111114</v>
      </c>
      <c r="E68" s="165">
        <v>46076.080243055556</v>
      </c>
      <c r="F68" s="134" t="s">
        <v>660</v>
      </c>
      <c r="G68">
        <v>4069518399507</v>
      </c>
      <c r="H68" s="134" t="s">
        <v>661</v>
      </c>
      <c r="I68" s="134" t="s">
        <v>304</v>
      </c>
      <c r="J68">
        <v>0</v>
      </c>
      <c r="K68">
        <v>0</v>
      </c>
    </row>
    <row r="69" spans="1:11" x14ac:dyDescent="0.2">
      <c r="A69" s="165">
        <v>46040.53334490741</v>
      </c>
      <c r="B69" s="134" t="s">
        <v>662</v>
      </c>
      <c r="C69" s="134" t="s">
        <v>663</v>
      </c>
      <c r="D69" s="165">
        <v>46048.24046296296</v>
      </c>
      <c r="E69" s="165">
        <v>46077.080127314817</v>
      </c>
      <c r="F69" s="134" t="s">
        <v>494</v>
      </c>
      <c r="G69">
        <v>4069518106389</v>
      </c>
      <c r="H69" s="134" t="s">
        <v>664</v>
      </c>
      <c r="I69" s="134" t="s">
        <v>202</v>
      </c>
      <c r="J69">
        <v>0</v>
      </c>
      <c r="K69">
        <v>0</v>
      </c>
    </row>
    <row r="70" spans="1:11" x14ac:dyDescent="0.2">
      <c r="A70" s="165">
        <v>46040.414953703701</v>
      </c>
      <c r="B70" s="134" t="s">
        <v>665</v>
      </c>
      <c r="C70" s="134" t="s">
        <v>666</v>
      </c>
      <c r="D70" s="165">
        <v>46049.030729166669</v>
      </c>
      <c r="E70" s="165">
        <v>46079.080138888887</v>
      </c>
      <c r="F70" s="134" t="s">
        <v>667</v>
      </c>
      <c r="G70">
        <v>4069518376782</v>
      </c>
      <c r="H70" s="134" t="s">
        <v>668</v>
      </c>
      <c r="I70" s="134" t="s">
        <v>287</v>
      </c>
      <c r="J70">
        <v>0</v>
      </c>
      <c r="K70">
        <v>0</v>
      </c>
    </row>
    <row r="71" spans="1:11" x14ac:dyDescent="0.2">
      <c r="A71" s="165">
        <v>46036.964212962965</v>
      </c>
      <c r="B71" s="134" t="s">
        <v>669</v>
      </c>
      <c r="C71" s="134" t="s">
        <v>670</v>
      </c>
      <c r="D71" s="165">
        <v>46044.195335648146</v>
      </c>
      <c r="E71" s="165">
        <v>46074.080092592594</v>
      </c>
      <c r="F71" s="134" t="s">
        <v>671</v>
      </c>
      <c r="G71">
        <v>4069518242735</v>
      </c>
      <c r="H71" s="134" t="s">
        <v>672</v>
      </c>
      <c r="I71" s="134" t="s">
        <v>227</v>
      </c>
      <c r="J71">
        <v>1</v>
      </c>
      <c r="K71">
        <v>0</v>
      </c>
    </row>
    <row r="72" spans="1:11" x14ac:dyDescent="0.2">
      <c r="A72" s="165">
        <v>46036.572083333333</v>
      </c>
      <c r="B72" s="134" t="s">
        <v>673</v>
      </c>
      <c r="C72" s="134" t="s">
        <v>674</v>
      </c>
      <c r="D72" s="165">
        <v>46045.125879629632</v>
      </c>
      <c r="E72" s="165">
        <v>46079.080104166664</v>
      </c>
      <c r="F72" s="134" t="s">
        <v>675</v>
      </c>
      <c r="G72">
        <v>4069518471388</v>
      </c>
      <c r="H72" s="134" t="s">
        <v>676</v>
      </c>
      <c r="I72" s="134" t="s">
        <v>365</v>
      </c>
      <c r="J72">
        <v>0</v>
      </c>
      <c r="K72">
        <v>0</v>
      </c>
    </row>
    <row r="73" spans="1:11" x14ac:dyDescent="0.2">
      <c r="A73" s="165">
        <v>46035.808356481481</v>
      </c>
      <c r="B73" s="134" t="s">
        <v>677</v>
      </c>
      <c r="C73" s="134" t="s">
        <v>678</v>
      </c>
      <c r="D73" s="165">
        <v>46042.982777777775</v>
      </c>
      <c r="E73" s="165">
        <v>46073.08017361111</v>
      </c>
      <c r="F73" s="134" t="s">
        <v>679</v>
      </c>
      <c r="G73">
        <v>4069518057674</v>
      </c>
      <c r="H73" s="134" t="s">
        <v>680</v>
      </c>
      <c r="I73" s="134" t="s">
        <v>176</v>
      </c>
      <c r="J73">
        <v>0</v>
      </c>
      <c r="K73">
        <v>0</v>
      </c>
    </row>
    <row r="74" spans="1:11" x14ac:dyDescent="0.2">
      <c r="A74" s="165">
        <v>46035.386759259258</v>
      </c>
      <c r="B74" s="134" t="s">
        <v>681</v>
      </c>
      <c r="C74" s="134" t="s">
        <v>682</v>
      </c>
      <c r="D74" s="165">
        <v>46044.111331018517</v>
      </c>
      <c r="E74" s="165">
        <v>46073.08017361111</v>
      </c>
      <c r="F74" s="134" t="s">
        <v>683</v>
      </c>
      <c r="G74">
        <v>4069518468838</v>
      </c>
      <c r="H74" s="134" t="s">
        <v>684</v>
      </c>
      <c r="I74" s="134" t="s">
        <v>349</v>
      </c>
      <c r="J74">
        <v>1</v>
      </c>
      <c r="K74">
        <v>0</v>
      </c>
    </row>
    <row r="75" spans="1:11" x14ac:dyDescent="0.2">
      <c r="A75" s="165">
        <v>46033.917962962965</v>
      </c>
      <c r="B75" s="134" t="s">
        <v>685</v>
      </c>
      <c r="C75" s="134" t="s">
        <v>686</v>
      </c>
      <c r="D75" s="165">
        <v>46041.121736111112</v>
      </c>
      <c r="E75" s="165">
        <v>46071.55568287037</v>
      </c>
      <c r="F75" s="134" t="s">
        <v>687</v>
      </c>
      <c r="G75">
        <v>4069518474679</v>
      </c>
      <c r="H75" s="134" t="s">
        <v>688</v>
      </c>
      <c r="I75" s="134" t="s">
        <v>379</v>
      </c>
      <c r="J75">
        <v>0</v>
      </c>
      <c r="K75">
        <v>0</v>
      </c>
    </row>
    <row r="76" spans="1:11" x14ac:dyDescent="0.2">
      <c r="A76" s="165">
        <v>46033.902106481481</v>
      </c>
      <c r="B76" s="134" t="s">
        <v>689</v>
      </c>
      <c r="C76" s="134" t="s">
        <v>690</v>
      </c>
      <c r="D76" s="165">
        <v>46042.982719907406</v>
      </c>
      <c r="E76" s="165">
        <v>46073.08017361111</v>
      </c>
      <c r="F76" s="134" t="s">
        <v>517</v>
      </c>
      <c r="G76">
        <v>4069518328989</v>
      </c>
      <c r="H76" s="134" t="s">
        <v>691</v>
      </c>
      <c r="I76" s="134" t="s">
        <v>277</v>
      </c>
      <c r="J76">
        <v>0</v>
      </c>
      <c r="K76">
        <v>0</v>
      </c>
    </row>
    <row r="77" spans="1:11" x14ac:dyDescent="0.2">
      <c r="A77" s="165">
        <v>46033.453182870369</v>
      </c>
      <c r="B77" s="134" t="s">
        <v>692</v>
      </c>
      <c r="C77" s="134" t="s">
        <v>693</v>
      </c>
      <c r="D77" s="165">
        <v>46041.117465277777</v>
      </c>
      <c r="E77" s="165">
        <v>46071.548645833333</v>
      </c>
      <c r="F77" s="134" t="s">
        <v>694</v>
      </c>
      <c r="G77">
        <v>4069518414231</v>
      </c>
      <c r="H77" s="134" t="s">
        <v>695</v>
      </c>
      <c r="I77" s="134" t="s">
        <v>317</v>
      </c>
      <c r="J77">
        <v>0</v>
      </c>
      <c r="K77">
        <v>0</v>
      </c>
    </row>
    <row r="78" spans="1:11" x14ac:dyDescent="0.2">
      <c r="A78" s="165">
        <v>46031.518414351849</v>
      </c>
      <c r="B78" s="134" t="s">
        <v>696</v>
      </c>
      <c r="C78" s="134" t="s">
        <v>697</v>
      </c>
      <c r="D78" s="165">
        <v>46046.113310185188</v>
      </c>
      <c r="E78" s="165">
        <v>46071.55568287037</v>
      </c>
      <c r="F78" s="134" t="s">
        <v>698</v>
      </c>
      <c r="G78">
        <v>4069518242438</v>
      </c>
      <c r="H78" s="134" t="s">
        <v>699</v>
      </c>
      <c r="I78" s="134" t="s">
        <v>226</v>
      </c>
      <c r="J78">
        <v>0</v>
      </c>
      <c r="K78">
        <v>0</v>
      </c>
    </row>
    <row r="79" spans="1:11" x14ac:dyDescent="0.2">
      <c r="A79" s="165">
        <v>46030.516608796293</v>
      </c>
      <c r="B79" s="134" t="s">
        <v>700</v>
      </c>
      <c r="C79" s="134" t="s">
        <v>701</v>
      </c>
      <c r="D79" s="165">
        <v>46037.117442129631</v>
      </c>
      <c r="E79" s="165">
        <v>46066.080208333333</v>
      </c>
      <c r="F79" s="134" t="s">
        <v>702</v>
      </c>
      <c r="G79">
        <v>4069518057841</v>
      </c>
      <c r="H79" s="134" t="s">
        <v>703</v>
      </c>
      <c r="I79" s="134" t="s">
        <v>177</v>
      </c>
      <c r="J79">
        <v>0</v>
      </c>
      <c r="K79">
        <v>0</v>
      </c>
    </row>
    <row r="80" spans="1:11" x14ac:dyDescent="0.2">
      <c r="A80" s="165">
        <v>46030.476793981485</v>
      </c>
      <c r="B80" s="134" t="s">
        <v>704</v>
      </c>
      <c r="C80" s="134" t="s">
        <v>705</v>
      </c>
      <c r="D80" s="165">
        <v>46038.176550925928</v>
      </c>
      <c r="E80" s="165">
        <v>46065.08011574074</v>
      </c>
      <c r="F80" s="134" t="s">
        <v>706</v>
      </c>
      <c r="G80">
        <v>4069518302743</v>
      </c>
      <c r="H80" s="134" t="s">
        <v>707</v>
      </c>
      <c r="I80" s="134" t="s">
        <v>262</v>
      </c>
      <c r="J80">
        <v>0</v>
      </c>
      <c r="K80">
        <v>0</v>
      </c>
    </row>
    <row r="81" spans="1:11" x14ac:dyDescent="0.2">
      <c r="A81" s="165">
        <v>46028.622928240744</v>
      </c>
      <c r="B81" s="134" t="s">
        <v>708</v>
      </c>
      <c r="C81" s="134" t="s">
        <v>709</v>
      </c>
      <c r="D81" s="165">
        <v>46035.173854166664</v>
      </c>
      <c r="E81" s="165">
        <v>46071.552141203705</v>
      </c>
      <c r="F81" s="134" t="s">
        <v>710</v>
      </c>
      <c r="G81">
        <v>4069518142776</v>
      </c>
      <c r="H81" s="134" t="s">
        <v>711</v>
      </c>
      <c r="I81" s="134" t="s">
        <v>712</v>
      </c>
      <c r="J81">
        <v>1</v>
      </c>
      <c r="K81">
        <v>0</v>
      </c>
    </row>
    <row r="82" spans="1:11" x14ac:dyDescent="0.2">
      <c r="A82" s="165">
        <v>46028.590428240743</v>
      </c>
      <c r="B82" s="134" t="s">
        <v>713</v>
      </c>
      <c r="C82" s="134" t="s">
        <v>714</v>
      </c>
      <c r="D82" s="165">
        <v>46036.055787037039</v>
      </c>
      <c r="E82" s="165">
        <v>46066.080127314817</v>
      </c>
      <c r="F82" s="134" t="s">
        <v>715</v>
      </c>
      <c r="G82">
        <v>4069518469934</v>
      </c>
      <c r="H82" s="134" t="s">
        <v>716</v>
      </c>
      <c r="I82" s="134" t="s">
        <v>353</v>
      </c>
      <c r="J82">
        <v>1</v>
      </c>
      <c r="K82">
        <v>0</v>
      </c>
    </row>
    <row r="83" spans="1:11" x14ac:dyDescent="0.2">
      <c r="A83" s="165">
        <v>46027.645578703705</v>
      </c>
      <c r="B83" s="134" t="s">
        <v>717</v>
      </c>
      <c r="C83" s="134" t="s">
        <v>718</v>
      </c>
      <c r="D83" s="165">
        <v>46041.121701388889</v>
      </c>
      <c r="E83" s="165">
        <v>46071.55568287037</v>
      </c>
      <c r="F83" s="134" t="s">
        <v>719</v>
      </c>
      <c r="G83">
        <v>4069518510476</v>
      </c>
      <c r="H83" s="134" t="s">
        <v>720</v>
      </c>
      <c r="I83" s="134" t="s">
        <v>402</v>
      </c>
      <c r="J83">
        <v>0</v>
      </c>
      <c r="K83">
        <v>0</v>
      </c>
    </row>
    <row r="84" spans="1:11" x14ac:dyDescent="0.2">
      <c r="A84" s="165">
        <v>46026.639652777776</v>
      </c>
      <c r="B84" s="134" t="s">
        <v>721</v>
      </c>
      <c r="C84" s="134" t="s">
        <v>722</v>
      </c>
      <c r="D84" s="165">
        <v>46034.206319444442</v>
      </c>
      <c r="E84" s="165">
        <v>46071.548645833333</v>
      </c>
      <c r="F84" s="134" t="s">
        <v>723</v>
      </c>
      <c r="G84">
        <v>4069518255285</v>
      </c>
      <c r="H84" s="134" t="s">
        <v>724</v>
      </c>
      <c r="I84" s="134" t="s">
        <v>725</v>
      </c>
      <c r="J84">
        <v>1</v>
      </c>
      <c r="K84">
        <v>0</v>
      </c>
    </row>
    <row r="85" spans="1:11" x14ac:dyDescent="0.2">
      <c r="A85" s="165">
        <v>46025.7341087963</v>
      </c>
      <c r="B85" s="134" t="s">
        <v>726</v>
      </c>
      <c r="C85" s="134" t="s">
        <v>727</v>
      </c>
      <c r="D85" s="165">
        <v>46032.171770833331</v>
      </c>
      <c r="E85" s="165">
        <v>46071.552141203705</v>
      </c>
      <c r="F85" s="134" t="s">
        <v>728</v>
      </c>
      <c r="G85">
        <v>4069518510636</v>
      </c>
      <c r="H85" s="134" t="s">
        <v>729</v>
      </c>
      <c r="I85" s="134" t="s">
        <v>403</v>
      </c>
      <c r="J85">
        <v>0</v>
      </c>
      <c r="K85">
        <v>0</v>
      </c>
    </row>
    <row r="86" spans="1:11" x14ac:dyDescent="0.2">
      <c r="A86" s="165">
        <v>46024.565937500003</v>
      </c>
      <c r="B86" s="134" t="s">
        <v>730</v>
      </c>
      <c r="C86" s="134" t="s">
        <v>731</v>
      </c>
      <c r="D86" s="165">
        <v>46030.161377314813</v>
      </c>
      <c r="E86" s="165">
        <v>46071.548645833333</v>
      </c>
      <c r="F86" s="134" t="s">
        <v>732</v>
      </c>
      <c r="G86">
        <v>4069518403112</v>
      </c>
      <c r="H86" s="134" t="s">
        <v>733</v>
      </c>
      <c r="I86" s="134" t="s">
        <v>307</v>
      </c>
      <c r="J86">
        <v>0</v>
      </c>
      <c r="K86">
        <v>0</v>
      </c>
    </row>
    <row r="87" spans="1:11" x14ac:dyDescent="0.2">
      <c r="A87" s="165">
        <v>46023.688819444447</v>
      </c>
      <c r="B87" s="134" t="s">
        <v>734</v>
      </c>
      <c r="C87" s="134" t="s">
        <v>735</v>
      </c>
      <c r="D87" s="165">
        <v>46037.171655092592</v>
      </c>
      <c r="E87" s="165">
        <v>46071.552141203705</v>
      </c>
      <c r="F87" s="134" t="s">
        <v>736</v>
      </c>
      <c r="G87">
        <v>4069518470497</v>
      </c>
      <c r="H87" s="134" t="s">
        <v>737</v>
      </c>
      <c r="I87" s="134" t="s">
        <v>361</v>
      </c>
      <c r="J87">
        <v>1</v>
      </c>
      <c r="K87">
        <v>0</v>
      </c>
    </row>
    <row r="88" spans="1:11" x14ac:dyDescent="0.2">
      <c r="A88" s="165">
        <v>46023.000092592592</v>
      </c>
      <c r="B88" s="134" t="s">
        <v>738</v>
      </c>
      <c r="C88" s="134" t="s">
        <v>739</v>
      </c>
      <c r="D88" s="165">
        <v>46034.354907407411</v>
      </c>
      <c r="E88" s="165">
        <v>46063.080046296294</v>
      </c>
      <c r="F88" s="134" t="s">
        <v>483</v>
      </c>
      <c r="G88">
        <v>4069518387269</v>
      </c>
      <c r="H88" s="134" t="s">
        <v>740</v>
      </c>
      <c r="I88" s="134" t="s">
        <v>296</v>
      </c>
      <c r="J88">
        <v>0</v>
      </c>
      <c r="K88">
        <v>0</v>
      </c>
    </row>
    <row r="89" spans="1:11" x14ac:dyDescent="0.2">
      <c r="A89" s="165">
        <v>46022.521701388891</v>
      </c>
      <c r="B89" s="134" t="s">
        <v>741</v>
      </c>
      <c r="C89" s="134" t="s">
        <v>742</v>
      </c>
      <c r="D89" s="165">
        <v>46034.206377314818</v>
      </c>
      <c r="E89" s="165">
        <v>46062.08021990741</v>
      </c>
      <c r="F89" s="134" t="s">
        <v>743</v>
      </c>
      <c r="G89">
        <v>4069518138793</v>
      </c>
      <c r="H89" s="134" t="s">
        <v>744</v>
      </c>
      <c r="I89" s="134" t="s">
        <v>206</v>
      </c>
      <c r="J89">
        <v>1</v>
      </c>
      <c r="K89">
        <v>0</v>
      </c>
    </row>
    <row r="90" spans="1:11" x14ac:dyDescent="0.2">
      <c r="A90" s="165">
        <v>46018.751250000001</v>
      </c>
      <c r="B90" s="134" t="s">
        <v>745</v>
      </c>
      <c r="C90" s="134" t="s">
        <v>746</v>
      </c>
      <c r="D90" s="165">
        <v>46027.958564814813</v>
      </c>
      <c r="E90" s="165">
        <v>46060.080289351848</v>
      </c>
      <c r="F90" s="134" t="s">
        <v>747</v>
      </c>
      <c r="G90">
        <v>4069518343173</v>
      </c>
      <c r="H90" s="134" t="s">
        <v>748</v>
      </c>
      <c r="I90" s="134" t="s">
        <v>283</v>
      </c>
      <c r="J90">
        <v>0</v>
      </c>
      <c r="K90">
        <v>0</v>
      </c>
    </row>
    <row r="91" spans="1:11" x14ac:dyDescent="0.2">
      <c r="A91" s="165">
        <v>46017.84814814815</v>
      </c>
      <c r="B91" s="134" t="s">
        <v>749</v>
      </c>
      <c r="C91" s="134" t="s">
        <v>750</v>
      </c>
      <c r="D91" s="165">
        <v>46027.923877314817</v>
      </c>
      <c r="E91" s="165">
        <v>46058.080138888887</v>
      </c>
      <c r="F91" s="134" t="s">
        <v>751</v>
      </c>
      <c r="G91">
        <v>4069518057049</v>
      </c>
      <c r="H91" s="134" t="s">
        <v>752</v>
      </c>
      <c r="I91" s="134" t="s">
        <v>170</v>
      </c>
      <c r="J91">
        <v>0</v>
      </c>
      <c r="K91">
        <v>0</v>
      </c>
    </row>
    <row r="92" spans="1:11" x14ac:dyDescent="0.2">
      <c r="A92" s="165">
        <v>46016.837187500001</v>
      </c>
      <c r="B92" s="134" t="s">
        <v>753</v>
      </c>
      <c r="C92" s="134" t="s">
        <v>754</v>
      </c>
      <c r="D92" s="165">
        <v>46030.146134259259</v>
      </c>
      <c r="E92" s="165">
        <v>46069.080185185187</v>
      </c>
      <c r="F92" s="134" t="s">
        <v>755</v>
      </c>
      <c r="G92">
        <v>4069518057094</v>
      </c>
      <c r="H92" s="134" t="s">
        <v>756</v>
      </c>
      <c r="I92" s="134" t="s">
        <v>175</v>
      </c>
      <c r="J92">
        <v>1</v>
      </c>
      <c r="K92">
        <v>0</v>
      </c>
    </row>
    <row r="93" spans="1:11" x14ac:dyDescent="0.2">
      <c r="A93" s="165">
        <v>46013.818043981482</v>
      </c>
      <c r="B93" s="134" t="s">
        <v>757</v>
      </c>
      <c r="C93" s="134" t="s">
        <v>758</v>
      </c>
      <c r="D93" s="165">
        <v>46021.9377662037</v>
      </c>
      <c r="E93" s="165">
        <v>46053.080081018517</v>
      </c>
      <c r="F93" s="134" t="s">
        <v>759</v>
      </c>
      <c r="G93">
        <v>4069518056226</v>
      </c>
      <c r="H93" s="134" t="s">
        <v>760</v>
      </c>
      <c r="I93" s="134" t="s">
        <v>167</v>
      </c>
      <c r="J93">
        <v>1</v>
      </c>
      <c r="K93">
        <v>0</v>
      </c>
    </row>
    <row r="94" spans="1:11" x14ac:dyDescent="0.2">
      <c r="A94" s="165">
        <v>46010.892800925925</v>
      </c>
      <c r="B94" s="134" t="s">
        <v>761</v>
      </c>
      <c r="C94" s="134" t="s">
        <v>762</v>
      </c>
      <c r="D94" s="165">
        <v>46020.882222222222</v>
      </c>
      <c r="E94" s="165">
        <v>46053.080081018517</v>
      </c>
      <c r="F94" s="134" t="s">
        <v>763</v>
      </c>
      <c r="G94">
        <v>4069518380437</v>
      </c>
      <c r="H94" s="134" t="s">
        <v>764</v>
      </c>
      <c r="I94" s="134" t="s">
        <v>291</v>
      </c>
      <c r="J94">
        <v>0</v>
      </c>
      <c r="K94">
        <v>0</v>
      </c>
    </row>
    <row r="95" spans="1:11" x14ac:dyDescent="0.2">
      <c r="A95" s="165">
        <v>46008.392685185187</v>
      </c>
      <c r="B95" s="134" t="s">
        <v>765</v>
      </c>
      <c r="C95" s="134" t="s">
        <v>766</v>
      </c>
      <c r="D95" s="165">
        <v>46014.254247685189</v>
      </c>
      <c r="E95" s="165">
        <v>46044.080081018517</v>
      </c>
      <c r="F95" s="134" t="s">
        <v>767</v>
      </c>
      <c r="G95">
        <v>4069518458501</v>
      </c>
      <c r="H95" s="134" t="s">
        <v>768</v>
      </c>
      <c r="I95" s="134" t="s">
        <v>326</v>
      </c>
      <c r="J95">
        <v>0</v>
      </c>
      <c r="K95">
        <v>0</v>
      </c>
    </row>
    <row r="96" spans="1:11" x14ac:dyDescent="0.2">
      <c r="A96" s="165">
        <v>46007.074733796297</v>
      </c>
      <c r="B96" s="134" t="s">
        <v>769</v>
      </c>
      <c r="C96" s="134" t="s">
        <v>770</v>
      </c>
      <c r="D96" s="165">
        <v>46014.16196759259</v>
      </c>
      <c r="E96" s="165">
        <v>46044.080081018517</v>
      </c>
      <c r="F96" s="134" t="s">
        <v>771</v>
      </c>
      <c r="G96">
        <v>4069518470015</v>
      </c>
      <c r="H96" s="134" t="s">
        <v>772</v>
      </c>
      <c r="I96" s="134" t="s">
        <v>355</v>
      </c>
      <c r="J96">
        <v>0</v>
      </c>
      <c r="K96">
        <v>0</v>
      </c>
    </row>
    <row r="97" spans="1:11" x14ac:dyDescent="0.2">
      <c r="A97" s="165">
        <v>46006.736446759256</v>
      </c>
      <c r="B97" s="134" t="s">
        <v>773</v>
      </c>
      <c r="C97" s="134" t="s">
        <v>774</v>
      </c>
      <c r="D97" s="165">
        <v>46014.161932870367</v>
      </c>
      <c r="E97" s="165">
        <v>46044.080150462964</v>
      </c>
      <c r="F97" s="134" t="s">
        <v>775</v>
      </c>
      <c r="G97">
        <v>4069518415405</v>
      </c>
      <c r="H97" s="134" t="s">
        <v>776</v>
      </c>
      <c r="I97" s="134" t="s">
        <v>319</v>
      </c>
      <c r="J97">
        <v>0</v>
      </c>
      <c r="K97">
        <v>0</v>
      </c>
    </row>
    <row r="98" spans="1:11" x14ac:dyDescent="0.2">
      <c r="A98" s="165">
        <v>46006.002141203702</v>
      </c>
      <c r="B98" s="134" t="s">
        <v>777</v>
      </c>
      <c r="C98" s="134" t="s">
        <v>778</v>
      </c>
      <c r="D98" s="165">
        <v>46011.217511574076</v>
      </c>
      <c r="E98" s="165">
        <v>46041.080312500002</v>
      </c>
      <c r="F98" s="134" t="s">
        <v>779</v>
      </c>
      <c r="G98">
        <v>4069518053065</v>
      </c>
      <c r="H98" s="134" t="s">
        <v>780</v>
      </c>
      <c r="I98" s="134" t="s">
        <v>163</v>
      </c>
      <c r="J98">
        <v>1</v>
      </c>
      <c r="K98">
        <v>0</v>
      </c>
    </row>
    <row r="99" spans="1:11" x14ac:dyDescent="0.2">
      <c r="A99" s="165">
        <v>46005.667696759258</v>
      </c>
      <c r="B99" s="134" t="s">
        <v>781</v>
      </c>
      <c r="C99" s="134" t="s">
        <v>782</v>
      </c>
      <c r="D99" s="165">
        <v>46011.172303240739</v>
      </c>
      <c r="E99" s="165">
        <v>46040.08357638889</v>
      </c>
      <c r="F99" s="134" t="s">
        <v>783</v>
      </c>
      <c r="G99">
        <v>4069518468487</v>
      </c>
      <c r="H99" s="134" t="s">
        <v>784</v>
      </c>
      <c r="I99" s="134" t="s">
        <v>347</v>
      </c>
      <c r="J99">
        <v>0</v>
      </c>
      <c r="K99">
        <v>0</v>
      </c>
    </row>
    <row r="100" spans="1:11" x14ac:dyDescent="0.2">
      <c r="A100" s="165">
        <v>46005.577499999999</v>
      </c>
      <c r="B100" s="134" t="s">
        <v>785</v>
      </c>
      <c r="C100" s="134" t="s">
        <v>786</v>
      </c>
      <c r="D100" s="165">
        <v>46013.166180555556</v>
      </c>
      <c r="E100" s="165">
        <v>46041.080138888887</v>
      </c>
      <c r="F100" s="134" t="s">
        <v>787</v>
      </c>
      <c r="G100">
        <v>4069518461464</v>
      </c>
      <c r="H100" s="134" t="s">
        <v>788</v>
      </c>
      <c r="I100" s="134" t="s">
        <v>334</v>
      </c>
      <c r="J100">
        <v>0</v>
      </c>
      <c r="K100">
        <v>0</v>
      </c>
    </row>
    <row r="101" spans="1:11" x14ac:dyDescent="0.2">
      <c r="A101" s="165">
        <v>46005.466446759259</v>
      </c>
      <c r="B101" s="134" t="s">
        <v>789</v>
      </c>
      <c r="C101" s="134" t="s">
        <v>790</v>
      </c>
      <c r="D101" s="165">
        <v>46011.171631944446</v>
      </c>
      <c r="E101" s="165">
        <v>46044.385474537034</v>
      </c>
      <c r="F101" s="134" t="s">
        <v>103</v>
      </c>
      <c r="G101">
        <v>4069518471784</v>
      </c>
      <c r="H101" s="134" t="s">
        <v>791</v>
      </c>
      <c r="I101" s="134" t="s">
        <v>104</v>
      </c>
      <c r="J101">
        <v>1</v>
      </c>
      <c r="K101">
        <v>0</v>
      </c>
    </row>
    <row r="102" spans="1:11" x14ac:dyDescent="0.2">
      <c r="A102" s="165">
        <v>46004.910868055558</v>
      </c>
      <c r="B102" s="134" t="s">
        <v>792</v>
      </c>
      <c r="C102" s="134" t="s">
        <v>793</v>
      </c>
      <c r="D102" s="165">
        <v>46010.173703703702</v>
      </c>
      <c r="E102" s="165">
        <v>46048.677233796298</v>
      </c>
      <c r="F102" s="134" t="s">
        <v>794</v>
      </c>
      <c r="G102">
        <v>4069518508541</v>
      </c>
      <c r="H102" s="134" t="s">
        <v>795</v>
      </c>
      <c r="I102" s="134" t="s">
        <v>397</v>
      </c>
      <c r="J102">
        <v>0</v>
      </c>
      <c r="K102">
        <v>0</v>
      </c>
    </row>
    <row r="103" spans="1:11" x14ac:dyDescent="0.2">
      <c r="A103" s="165">
        <v>46004.827384259261</v>
      </c>
      <c r="B103" s="134" t="s">
        <v>796</v>
      </c>
      <c r="C103" s="134" t="s">
        <v>797</v>
      </c>
      <c r="D103" s="165">
        <v>46010.256331018521</v>
      </c>
      <c r="E103" s="165">
        <v>46040.080092592594</v>
      </c>
      <c r="F103" s="134" t="s">
        <v>798</v>
      </c>
      <c r="G103">
        <v>4069518156339</v>
      </c>
      <c r="H103" s="134" t="s">
        <v>799</v>
      </c>
      <c r="I103" s="134" t="s">
        <v>216</v>
      </c>
      <c r="J103">
        <v>1</v>
      </c>
      <c r="K103">
        <v>0</v>
      </c>
    </row>
    <row r="104" spans="1:11" x14ac:dyDescent="0.2">
      <c r="A104" s="165">
        <v>46004.573692129627</v>
      </c>
      <c r="B104" s="134" t="s">
        <v>800</v>
      </c>
      <c r="C104" s="134" t="s">
        <v>801</v>
      </c>
      <c r="D104" s="165">
        <v>46010.125810185185</v>
      </c>
      <c r="E104" s="165">
        <v>46039.083622685182</v>
      </c>
      <c r="F104" s="134" t="s">
        <v>802</v>
      </c>
      <c r="G104">
        <v>4069518141779</v>
      </c>
      <c r="H104" s="134" t="s">
        <v>803</v>
      </c>
      <c r="I104" s="134" t="s">
        <v>213</v>
      </c>
      <c r="J104">
        <v>1</v>
      </c>
      <c r="K104">
        <v>0</v>
      </c>
    </row>
    <row r="105" spans="1:11" x14ac:dyDescent="0.2">
      <c r="A105" s="165">
        <v>46004.382569444446</v>
      </c>
      <c r="B105" s="134" t="s">
        <v>804</v>
      </c>
      <c r="C105" s="134" t="s">
        <v>805</v>
      </c>
      <c r="D105" s="165">
        <v>46013.121782407405</v>
      </c>
      <c r="E105" s="165">
        <v>46041.080312500002</v>
      </c>
      <c r="F105" s="134" t="s">
        <v>806</v>
      </c>
      <c r="G105">
        <v>4069518305140</v>
      </c>
      <c r="H105" s="134" t="s">
        <v>807</v>
      </c>
      <c r="I105" s="134" t="s">
        <v>265</v>
      </c>
      <c r="J105">
        <v>1</v>
      </c>
      <c r="K105">
        <v>0</v>
      </c>
    </row>
    <row r="106" spans="1:11" x14ac:dyDescent="0.2">
      <c r="A106" s="165">
        <v>46004.295949074076</v>
      </c>
      <c r="B106" s="134" t="s">
        <v>808</v>
      </c>
      <c r="C106" s="134" t="s">
        <v>809</v>
      </c>
      <c r="D106" s="165">
        <v>46010.300185185188</v>
      </c>
      <c r="E106" s="165">
        <v>46040.080266203702</v>
      </c>
      <c r="F106" s="134" t="s">
        <v>810</v>
      </c>
      <c r="G106">
        <v>4069518236192</v>
      </c>
      <c r="H106" s="134" t="s">
        <v>811</v>
      </c>
      <c r="I106" s="134" t="s">
        <v>812</v>
      </c>
      <c r="J106">
        <v>1</v>
      </c>
      <c r="K106">
        <v>0</v>
      </c>
    </row>
    <row r="107" spans="1:11" x14ac:dyDescent="0.2">
      <c r="A107" s="165">
        <v>46003.669259259259</v>
      </c>
      <c r="B107" s="134" t="s">
        <v>813</v>
      </c>
      <c r="C107" s="134" t="s">
        <v>814</v>
      </c>
      <c r="D107" s="165">
        <v>46010.173067129632</v>
      </c>
      <c r="E107" s="165">
        <v>46044.385474537034</v>
      </c>
      <c r="F107" s="134" t="s">
        <v>815</v>
      </c>
      <c r="G107">
        <v>4069518304921</v>
      </c>
      <c r="H107" s="134" t="s">
        <v>816</v>
      </c>
      <c r="I107" s="134" t="s">
        <v>264</v>
      </c>
      <c r="J107">
        <v>0</v>
      </c>
      <c r="K107">
        <v>0</v>
      </c>
    </row>
    <row r="108" spans="1:11" x14ac:dyDescent="0.2">
      <c r="A108" s="165">
        <v>46003.580057870371</v>
      </c>
      <c r="B108" s="134" t="s">
        <v>817</v>
      </c>
      <c r="C108" s="134" t="s">
        <v>818</v>
      </c>
      <c r="D108" s="165">
        <v>46009.162673611114</v>
      </c>
      <c r="E108" s="165">
        <v>46039.08353009259</v>
      </c>
      <c r="F108" s="134" t="s">
        <v>819</v>
      </c>
      <c r="G108">
        <v>4069518196274</v>
      </c>
      <c r="H108" s="134" t="s">
        <v>820</v>
      </c>
      <c r="I108" s="134" t="s">
        <v>219</v>
      </c>
      <c r="J108">
        <v>1</v>
      </c>
      <c r="K108">
        <v>0</v>
      </c>
    </row>
    <row r="109" spans="1:11" x14ac:dyDescent="0.2">
      <c r="A109" s="165">
        <v>46003.451597222222</v>
      </c>
      <c r="B109" s="134" t="s">
        <v>821</v>
      </c>
      <c r="C109" s="134" t="s">
        <v>822</v>
      </c>
      <c r="D109" s="165">
        <v>46025.159097222226</v>
      </c>
      <c r="E109" s="165">
        <v>46044.385474537034</v>
      </c>
      <c r="F109" s="134" t="s">
        <v>823</v>
      </c>
      <c r="G109">
        <v>4069518478233</v>
      </c>
      <c r="H109" s="134" t="s">
        <v>824</v>
      </c>
      <c r="I109" s="134" t="s">
        <v>385</v>
      </c>
      <c r="J109">
        <v>0</v>
      </c>
      <c r="K109">
        <v>0</v>
      </c>
    </row>
    <row r="110" spans="1:11" x14ac:dyDescent="0.2">
      <c r="A110" s="165">
        <v>46002.625937500001</v>
      </c>
      <c r="B110" s="134" t="s">
        <v>825</v>
      </c>
      <c r="C110" s="134" t="s">
        <v>826</v>
      </c>
      <c r="D110" s="165">
        <v>46009.12296296296</v>
      </c>
      <c r="E110" s="165">
        <v>46039.08353009259</v>
      </c>
      <c r="F110" s="134" t="s">
        <v>827</v>
      </c>
      <c r="G110">
        <v>4069518478295</v>
      </c>
      <c r="H110" s="134" t="s">
        <v>828</v>
      </c>
      <c r="I110" s="134" t="s">
        <v>387</v>
      </c>
      <c r="J110">
        <v>0</v>
      </c>
      <c r="K110">
        <v>0</v>
      </c>
    </row>
    <row r="111" spans="1:11" x14ac:dyDescent="0.2">
      <c r="A111" s="165">
        <v>46002.472766203704</v>
      </c>
      <c r="B111" s="134" t="s">
        <v>829</v>
      </c>
      <c r="C111" s="134" t="s">
        <v>830</v>
      </c>
      <c r="D111" s="165">
        <v>46010.173020833332</v>
      </c>
      <c r="E111" s="165">
        <v>46039.08353009259</v>
      </c>
      <c r="F111" s="134" t="s">
        <v>452</v>
      </c>
      <c r="G111">
        <v>4069518478288</v>
      </c>
      <c r="H111" s="134" t="s">
        <v>831</v>
      </c>
      <c r="I111" s="134" t="s">
        <v>386</v>
      </c>
      <c r="J111">
        <v>0</v>
      </c>
      <c r="K111">
        <v>0</v>
      </c>
    </row>
    <row r="112" spans="1:11" x14ac:dyDescent="0.2">
      <c r="A112" s="165">
        <v>46002.367129629631</v>
      </c>
      <c r="B112" s="134" t="s">
        <v>832</v>
      </c>
      <c r="C112" s="134" t="s">
        <v>833</v>
      </c>
      <c r="D112" s="165">
        <v>46009.122384259259</v>
      </c>
      <c r="E112" s="165">
        <v>46044.385474537034</v>
      </c>
      <c r="F112" s="134" t="s">
        <v>834</v>
      </c>
      <c r="G112">
        <v>4069518471845</v>
      </c>
      <c r="H112" s="134" t="s">
        <v>835</v>
      </c>
      <c r="I112" s="134" t="s">
        <v>371</v>
      </c>
      <c r="J112">
        <v>1</v>
      </c>
      <c r="K112">
        <v>0</v>
      </c>
    </row>
    <row r="113" spans="1:11" x14ac:dyDescent="0.2">
      <c r="A113" s="165">
        <v>46001.598368055558</v>
      </c>
      <c r="B113" s="134" t="s">
        <v>836</v>
      </c>
      <c r="C113" s="134" t="s">
        <v>837</v>
      </c>
      <c r="D113" s="165">
        <v>46008.132199074076</v>
      </c>
      <c r="E113" s="165">
        <v>46038.080370370371</v>
      </c>
      <c r="F113" s="134" t="s">
        <v>838</v>
      </c>
      <c r="G113">
        <v>4069518376850</v>
      </c>
      <c r="H113" s="134" t="s">
        <v>839</v>
      </c>
      <c r="I113" s="134" t="s">
        <v>840</v>
      </c>
      <c r="J113">
        <v>0</v>
      </c>
      <c r="K113">
        <v>0</v>
      </c>
    </row>
    <row r="114" spans="1:11" x14ac:dyDescent="0.2">
      <c r="A114" s="165">
        <v>46001.277708333335</v>
      </c>
      <c r="B114" s="134" t="s">
        <v>841</v>
      </c>
      <c r="C114" s="134" t="s">
        <v>842</v>
      </c>
      <c r="D114" s="165">
        <v>46010.211898148147</v>
      </c>
      <c r="E114" s="165">
        <v>46043.350798611114</v>
      </c>
      <c r="F114" s="134" t="s">
        <v>459</v>
      </c>
      <c r="G114">
        <v>4069518413920</v>
      </c>
      <c r="H114" s="134" t="s">
        <v>843</v>
      </c>
      <c r="I114" s="134" t="s">
        <v>316</v>
      </c>
      <c r="J114">
        <v>0</v>
      </c>
      <c r="K114">
        <v>0</v>
      </c>
    </row>
    <row r="115" spans="1:11" x14ac:dyDescent="0.2">
      <c r="A115" s="165">
        <v>46000.736319444448</v>
      </c>
      <c r="B115" s="134" t="s">
        <v>844</v>
      </c>
      <c r="C115" s="134" t="s">
        <v>845</v>
      </c>
      <c r="D115" s="165">
        <v>46007.917118055557</v>
      </c>
      <c r="E115" s="165">
        <v>46039.083622685182</v>
      </c>
      <c r="F115" s="134" t="s">
        <v>846</v>
      </c>
      <c r="G115">
        <v>4069518008942</v>
      </c>
      <c r="H115" s="134" t="s">
        <v>847</v>
      </c>
      <c r="I115" s="134" t="s">
        <v>848</v>
      </c>
      <c r="J115">
        <v>1</v>
      </c>
      <c r="K115">
        <v>0</v>
      </c>
    </row>
    <row r="116" spans="1:11" x14ac:dyDescent="0.2">
      <c r="A116" s="165">
        <v>46000.670752314814</v>
      </c>
      <c r="B116" s="134" t="s">
        <v>849</v>
      </c>
      <c r="C116" s="134" t="s">
        <v>850</v>
      </c>
      <c r="D116" s="165">
        <v>46007.041932870372</v>
      </c>
      <c r="E116" s="165">
        <v>46034.416724537034</v>
      </c>
      <c r="F116" s="134" t="s">
        <v>846</v>
      </c>
      <c r="G116">
        <v>4069518008942</v>
      </c>
      <c r="H116" s="134" t="s">
        <v>851</v>
      </c>
      <c r="I116" s="134" t="s">
        <v>848</v>
      </c>
      <c r="J116">
        <v>1</v>
      </c>
      <c r="K116">
        <v>0</v>
      </c>
    </row>
    <row r="117" spans="1:11" x14ac:dyDescent="0.2">
      <c r="A117" s="165">
        <v>46000.557997685188</v>
      </c>
      <c r="B117" s="134" t="s">
        <v>852</v>
      </c>
      <c r="C117" s="134" t="s">
        <v>853</v>
      </c>
      <c r="D117" s="165">
        <v>46007.875439814816</v>
      </c>
      <c r="E117" s="165">
        <v>46039.080347222225</v>
      </c>
      <c r="F117" s="134" t="s">
        <v>798</v>
      </c>
      <c r="G117">
        <v>4069518156339</v>
      </c>
      <c r="H117" s="134" t="s">
        <v>854</v>
      </c>
      <c r="I117" s="134" t="s">
        <v>216</v>
      </c>
      <c r="J117">
        <v>1</v>
      </c>
      <c r="K117">
        <v>0</v>
      </c>
    </row>
    <row r="118" spans="1:11" x14ac:dyDescent="0.2">
      <c r="A118" s="165">
        <v>45999.397581018522</v>
      </c>
      <c r="B118" s="134" t="s">
        <v>855</v>
      </c>
      <c r="C118" s="134" t="s">
        <v>856</v>
      </c>
      <c r="D118" s="165">
        <v>46009.122418981482</v>
      </c>
      <c r="E118" s="165">
        <v>46039.08016203704</v>
      </c>
      <c r="F118" s="134" t="s">
        <v>857</v>
      </c>
      <c r="G118">
        <v>4069518514818</v>
      </c>
      <c r="H118" s="134" t="s">
        <v>858</v>
      </c>
      <c r="I118" s="134" t="s">
        <v>410</v>
      </c>
      <c r="J118">
        <v>0</v>
      </c>
      <c r="K118">
        <v>0</v>
      </c>
    </row>
    <row r="119" spans="1:11" x14ac:dyDescent="0.2">
      <c r="A119" s="165">
        <v>45998.808263888888</v>
      </c>
      <c r="B119" s="134" t="s">
        <v>859</v>
      </c>
      <c r="C119" s="134" t="s">
        <v>860</v>
      </c>
      <c r="D119" s="165">
        <v>46006.178611111114</v>
      </c>
      <c r="E119" s="165">
        <v>46034.08357638889</v>
      </c>
      <c r="F119" s="134" t="s">
        <v>846</v>
      </c>
      <c r="G119">
        <v>4069518008942</v>
      </c>
      <c r="H119" s="134" t="s">
        <v>861</v>
      </c>
      <c r="I119" s="134" t="s">
        <v>848</v>
      </c>
      <c r="J119">
        <v>1</v>
      </c>
      <c r="K119">
        <v>0</v>
      </c>
    </row>
    <row r="120" spans="1:11" x14ac:dyDescent="0.2">
      <c r="A120" s="165">
        <v>45998.727222222224</v>
      </c>
      <c r="B120" s="134" t="s">
        <v>862</v>
      </c>
      <c r="C120" s="134" t="s">
        <v>863</v>
      </c>
      <c r="D120" s="165">
        <v>46003.223124999997</v>
      </c>
      <c r="E120" s="165">
        <v>46037.080393518518</v>
      </c>
      <c r="F120" s="134" t="s">
        <v>864</v>
      </c>
      <c r="G120">
        <v>4069518506585</v>
      </c>
      <c r="H120" s="134" t="s">
        <v>865</v>
      </c>
      <c r="I120" s="134" t="s">
        <v>390</v>
      </c>
      <c r="J120">
        <v>0</v>
      </c>
      <c r="K120">
        <v>0</v>
      </c>
    </row>
    <row r="121" spans="1:11" x14ac:dyDescent="0.2">
      <c r="A121" s="165">
        <v>45998.412349537037</v>
      </c>
      <c r="B121" s="134" t="s">
        <v>866</v>
      </c>
      <c r="C121" s="134" t="s">
        <v>867</v>
      </c>
      <c r="D121" s="165">
        <v>46004.175069444442</v>
      </c>
      <c r="E121" s="165">
        <v>46033.083657407406</v>
      </c>
      <c r="F121" s="134" t="s">
        <v>868</v>
      </c>
      <c r="G121">
        <v>741575662346</v>
      </c>
      <c r="H121" s="134" t="s">
        <v>869</v>
      </c>
      <c r="I121" s="134" t="s">
        <v>135</v>
      </c>
      <c r="J121">
        <v>1</v>
      </c>
      <c r="K121">
        <v>0</v>
      </c>
    </row>
    <row r="122" spans="1:11" x14ac:dyDescent="0.2">
      <c r="A122" s="165">
        <v>45997.648530092592</v>
      </c>
      <c r="B122" s="134" t="s">
        <v>870</v>
      </c>
      <c r="C122" s="134" t="s">
        <v>871</v>
      </c>
      <c r="D122" s="165">
        <v>46003.223668981482</v>
      </c>
      <c r="E122" s="165">
        <v>46032.08357638889</v>
      </c>
      <c r="F122" s="134" t="s">
        <v>872</v>
      </c>
      <c r="G122">
        <v>4069518479483</v>
      </c>
      <c r="H122" s="134" t="s">
        <v>873</v>
      </c>
      <c r="I122" s="134" t="s">
        <v>388</v>
      </c>
      <c r="J122">
        <v>0</v>
      </c>
      <c r="K122">
        <v>0</v>
      </c>
    </row>
    <row r="123" spans="1:11" x14ac:dyDescent="0.2">
      <c r="A123" s="165">
        <v>45996.871747685182</v>
      </c>
      <c r="B123" s="134" t="s">
        <v>874</v>
      </c>
      <c r="C123" s="134" t="s">
        <v>875</v>
      </c>
      <c r="D123" s="165">
        <v>46003.224409722221</v>
      </c>
      <c r="E123" s="165">
        <v>46032.08357638889</v>
      </c>
      <c r="F123" s="134" t="s">
        <v>794</v>
      </c>
      <c r="G123">
        <v>4069518508541</v>
      </c>
      <c r="H123" s="134" t="s">
        <v>876</v>
      </c>
      <c r="I123" s="134" t="s">
        <v>397</v>
      </c>
      <c r="J123">
        <v>0</v>
      </c>
      <c r="K123">
        <v>0</v>
      </c>
    </row>
    <row r="124" spans="1:11" x14ac:dyDescent="0.2">
      <c r="A124" s="165">
        <v>45996.826932870368</v>
      </c>
      <c r="B124" s="134" t="s">
        <v>877</v>
      </c>
      <c r="C124" s="134" t="s">
        <v>878</v>
      </c>
      <c r="D124" s="165">
        <v>46004.262800925928</v>
      </c>
      <c r="E124" s="165">
        <v>46032.083761574075</v>
      </c>
      <c r="F124" s="134" t="s">
        <v>119</v>
      </c>
      <c r="G124">
        <v>4069518474648</v>
      </c>
      <c r="H124" s="134" t="s">
        <v>879</v>
      </c>
      <c r="I124" s="134" t="s">
        <v>120</v>
      </c>
      <c r="J124">
        <v>1</v>
      </c>
      <c r="K124">
        <v>0</v>
      </c>
    </row>
    <row r="125" spans="1:11" x14ac:dyDescent="0.2">
      <c r="A125" s="165">
        <v>45996.67324074074</v>
      </c>
      <c r="B125" s="134" t="s">
        <v>431</v>
      </c>
      <c r="C125" s="134" t="s">
        <v>880</v>
      </c>
      <c r="D125" s="165">
        <v>46007.999988425923</v>
      </c>
      <c r="E125" s="165">
        <v>46000.455023148148</v>
      </c>
      <c r="F125" s="134" t="s">
        <v>881</v>
      </c>
      <c r="G125">
        <v>4069518506592</v>
      </c>
      <c r="H125" s="134" t="s">
        <v>882</v>
      </c>
      <c r="I125" s="134" t="s">
        <v>391</v>
      </c>
      <c r="J125">
        <v>0</v>
      </c>
      <c r="K125">
        <v>0</v>
      </c>
    </row>
    <row r="126" spans="1:11" x14ac:dyDescent="0.2">
      <c r="A126" s="165">
        <v>45996.600162037037</v>
      </c>
      <c r="B126" s="134" t="s">
        <v>883</v>
      </c>
      <c r="C126" s="134" t="s">
        <v>884</v>
      </c>
      <c r="D126" s="165">
        <v>46018.021134259259</v>
      </c>
      <c r="E126" s="165">
        <v>46049.079942129632</v>
      </c>
      <c r="F126" s="134" t="s">
        <v>885</v>
      </c>
      <c r="G126">
        <v>4069518508718</v>
      </c>
      <c r="H126" s="134" t="s">
        <v>886</v>
      </c>
      <c r="I126" s="134" t="s">
        <v>398</v>
      </c>
      <c r="J126">
        <v>0</v>
      </c>
      <c r="K126">
        <v>0</v>
      </c>
    </row>
    <row r="127" spans="1:11" x14ac:dyDescent="0.2">
      <c r="A127" s="165">
        <v>45996.120833333334</v>
      </c>
      <c r="B127" s="134" t="s">
        <v>887</v>
      </c>
      <c r="C127" s="134" t="s">
        <v>888</v>
      </c>
      <c r="D127" s="165">
        <v>46006.212835648148</v>
      </c>
      <c r="E127" s="165">
        <v>46034.08357638889</v>
      </c>
      <c r="F127" s="134" t="s">
        <v>105</v>
      </c>
      <c r="G127">
        <v>4069518471487</v>
      </c>
      <c r="H127" s="134" t="s">
        <v>889</v>
      </c>
      <c r="I127" s="134" t="s">
        <v>106</v>
      </c>
      <c r="J127">
        <v>1</v>
      </c>
      <c r="K127">
        <v>0</v>
      </c>
    </row>
    <row r="128" spans="1:11" x14ac:dyDescent="0.2">
      <c r="A128" s="165">
        <v>45993.538206018522</v>
      </c>
      <c r="B128" s="134" t="s">
        <v>890</v>
      </c>
      <c r="C128" s="134" t="s">
        <v>891</v>
      </c>
      <c r="D128" s="165">
        <v>46004.218275462961</v>
      </c>
      <c r="E128" s="165">
        <v>46033.080335648148</v>
      </c>
      <c r="F128" s="134" t="s">
        <v>892</v>
      </c>
      <c r="G128">
        <v>4069518256121</v>
      </c>
      <c r="H128" s="134" t="s">
        <v>893</v>
      </c>
      <c r="I128" s="134" t="s">
        <v>239</v>
      </c>
      <c r="J128">
        <v>1</v>
      </c>
      <c r="K128">
        <v>0</v>
      </c>
    </row>
    <row r="129" spans="1:11" x14ac:dyDescent="0.2">
      <c r="A129" s="165">
        <v>45993.002384259256</v>
      </c>
      <c r="B129" s="134" t="s">
        <v>894</v>
      </c>
      <c r="C129" s="134" t="s">
        <v>895</v>
      </c>
      <c r="D129" s="165">
        <v>46004.26185185185</v>
      </c>
      <c r="E129" s="165">
        <v>46033.080138888887</v>
      </c>
      <c r="F129" s="134" t="s">
        <v>896</v>
      </c>
      <c r="G129">
        <v>4069518476819</v>
      </c>
      <c r="H129" s="134" t="s">
        <v>897</v>
      </c>
      <c r="I129" s="134" t="s">
        <v>382</v>
      </c>
      <c r="J129">
        <v>0</v>
      </c>
      <c r="K129">
        <v>0</v>
      </c>
    </row>
    <row r="130" spans="1:11" x14ac:dyDescent="0.2">
      <c r="A130" s="165">
        <v>45992.968831018516</v>
      </c>
      <c r="B130" s="134" t="s">
        <v>898</v>
      </c>
      <c r="C130" s="134" t="s">
        <v>899</v>
      </c>
      <c r="D130" s="165">
        <v>46002.187673611108</v>
      </c>
      <c r="E130" s="165">
        <v>46034.072962962964</v>
      </c>
      <c r="F130" s="134" t="s">
        <v>93</v>
      </c>
      <c r="G130">
        <v>4069518471838</v>
      </c>
      <c r="H130" s="134" t="s">
        <v>900</v>
      </c>
      <c r="I130" s="134" t="s">
        <v>94</v>
      </c>
      <c r="J130">
        <v>0</v>
      </c>
      <c r="K130">
        <v>1</v>
      </c>
    </row>
    <row r="131" spans="1:11" x14ac:dyDescent="0.2">
      <c r="A131" s="165">
        <v>45992.940520833334</v>
      </c>
      <c r="B131" s="134" t="s">
        <v>901</v>
      </c>
      <c r="C131" s="134" t="s">
        <v>902</v>
      </c>
      <c r="D131" s="165">
        <v>45999.284189814818</v>
      </c>
      <c r="E131" s="165">
        <v>46027.080069444448</v>
      </c>
      <c r="F131" s="134" t="s">
        <v>903</v>
      </c>
      <c r="G131">
        <v>4069518254325</v>
      </c>
      <c r="H131" s="134" t="s">
        <v>904</v>
      </c>
      <c r="I131" s="134" t="s">
        <v>233</v>
      </c>
      <c r="J131">
        <v>0</v>
      </c>
      <c r="K131">
        <v>1</v>
      </c>
    </row>
    <row r="132" spans="1:11" x14ac:dyDescent="0.2">
      <c r="A132" s="165">
        <v>45992.909004629626</v>
      </c>
      <c r="B132" s="134" t="s">
        <v>905</v>
      </c>
      <c r="C132" s="134" t="s">
        <v>906</v>
      </c>
      <c r="D132" s="165">
        <v>45999.179490740738</v>
      </c>
      <c r="E132" s="165">
        <v>46027.083784722221</v>
      </c>
      <c r="F132" s="134" t="s">
        <v>907</v>
      </c>
      <c r="G132">
        <v>4069518415528</v>
      </c>
      <c r="H132" s="134" t="s">
        <v>908</v>
      </c>
      <c r="I132" s="134" t="s">
        <v>321</v>
      </c>
      <c r="J132">
        <v>0</v>
      </c>
      <c r="K132">
        <v>1</v>
      </c>
    </row>
    <row r="133" spans="1:11" x14ac:dyDescent="0.2">
      <c r="A133" s="165">
        <v>45992.879224537035</v>
      </c>
      <c r="B133" s="134" t="s">
        <v>909</v>
      </c>
      <c r="C133" s="134" t="s">
        <v>910</v>
      </c>
      <c r="D133" s="165">
        <v>46004.191134259258</v>
      </c>
      <c r="E133" s="165">
        <v>46033.080335648148</v>
      </c>
      <c r="F133" s="134" t="s">
        <v>911</v>
      </c>
      <c r="G133">
        <v>4069518470008</v>
      </c>
      <c r="H133" s="134" t="s">
        <v>912</v>
      </c>
      <c r="I133" s="134" t="s">
        <v>354</v>
      </c>
      <c r="J133">
        <v>0</v>
      </c>
      <c r="K133">
        <v>0</v>
      </c>
    </row>
    <row r="134" spans="1:11" x14ac:dyDescent="0.2">
      <c r="A134" s="165">
        <v>45992.518553240741</v>
      </c>
      <c r="B134" s="134" t="s">
        <v>913</v>
      </c>
      <c r="C134" s="134" t="s">
        <v>914</v>
      </c>
      <c r="D134" s="165">
        <v>46004.146678240744</v>
      </c>
      <c r="E134" s="165">
        <v>46033.080138888887</v>
      </c>
      <c r="F134" s="134" t="s">
        <v>109</v>
      </c>
      <c r="G134">
        <v>4069518471739</v>
      </c>
      <c r="H134" s="134" t="s">
        <v>915</v>
      </c>
      <c r="I134" s="134" t="s">
        <v>110</v>
      </c>
      <c r="J134">
        <v>0</v>
      </c>
      <c r="K134">
        <v>0</v>
      </c>
    </row>
    <row r="135" spans="1:11" x14ac:dyDescent="0.2">
      <c r="A135" s="165">
        <v>45992.492824074077</v>
      </c>
      <c r="B135" s="134" t="s">
        <v>916</v>
      </c>
      <c r="C135" s="134" t="s">
        <v>917</v>
      </c>
      <c r="D135" s="165">
        <v>46000.215682870374</v>
      </c>
      <c r="E135" s="165">
        <v>46032.080381944441</v>
      </c>
      <c r="F135" s="134" t="s">
        <v>918</v>
      </c>
      <c r="G135">
        <v>741575686076</v>
      </c>
      <c r="H135" s="134" t="s">
        <v>919</v>
      </c>
      <c r="I135" s="134" t="s">
        <v>153</v>
      </c>
      <c r="J135">
        <v>0</v>
      </c>
      <c r="K135">
        <v>0</v>
      </c>
    </row>
    <row r="136" spans="1:11" x14ac:dyDescent="0.2">
      <c r="A136" s="165">
        <v>45991.993159722224</v>
      </c>
      <c r="B136" s="134" t="s">
        <v>920</v>
      </c>
      <c r="C136" s="134" t="s">
        <v>921</v>
      </c>
      <c r="D136" s="165">
        <v>46000.979432870372</v>
      </c>
      <c r="E136" s="165">
        <v>46033.083495370367</v>
      </c>
      <c r="F136" s="134" t="s">
        <v>922</v>
      </c>
      <c r="G136">
        <v>4069518387290</v>
      </c>
      <c r="H136" s="134" t="s">
        <v>923</v>
      </c>
      <c r="I136" s="134" t="s">
        <v>297</v>
      </c>
      <c r="J136">
        <v>0</v>
      </c>
      <c r="K136">
        <v>0</v>
      </c>
    </row>
    <row r="137" spans="1:11" x14ac:dyDescent="0.2">
      <c r="A137" s="165">
        <v>45991.881805555553</v>
      </c>
      <c r="B137" s="134" t="s">
        <v>924</v>
      </c>
      <c r="C137" s="134" t="s">
        <v>925</v>
      </c>
      <c r="D137" s="165">
        <v>46000.173819444448</v>
      </c>
      <c r="E137" s="165">
        <v>46034.08357638889</v>
      </c>
      <c r="F137" s="134" t="s">
        <v>926</v>
      </c>
      <c r="G137">
        <v>4069518140734</v>
      </c>
      <c r="H137" s="134" t="s">
        <v>927</v>
      </c>
      <c r="I137" s="134" t="s">
        <v>210</v>
      </c>
      <c r="J137">
        <v>0</v>
      </c>
      <c r="K137">
        <v>0</v>
      </c>
    </row>
    <row r="138" spans="1:11" x14ac:dyDescent="0.2">
      <c r="A138" s="165">
        <v>45991.652789351851</v>
      </c>
      <c r="B138" s="134" t="s">
        <v>928</v>
      </c>
      <c r="C138" s="134" t="s">
        <v>929</v>
      </c>
      <c r="D138" s="165">
        <v>46006.212800925925</v>
      </c>
      <c r="E138" s="165">
        <v>46034.08357638889</v>
      </c>
      <c r="F138" s="134" t="s">
        <v>930</v>
      </c>
      <c r="G138">
        <v>4069518402337</v>
      </c>
      <c r="H138" s="134" t="s">
        <v>931</v>
      </c>
      <c r="I138" s="134" t="s">
        <v>305</v>
      </c>
      <c r="J138">
        <v>0</v>
      </c>
      <c r="K138">
        <v>0</v>
      </c>
    </row>
    <row r="139" spans="1:11" x14ac:dyDescent="0.2">
      <c r="A139" s="165">
        <v>45991.590590277781</v>
      </c>
      <c r="B139" s="134" t="s">
        <v>932</v>
      </c>
      <c r="C139" s="134" t="s">
        <v>933</v>
      </c>
      <c r="D139" s="165">
        <v>45999.323645833334</v>
      </c>
      <c r="E139" s="165">
        <v>46027.083587962959</v>
      </c>
      <c r="F139" s="134" t="s">
        <v>934</v>
      </c>
      <c r="G139">
        <v>741575685703</v>
      </c>
      <c r="H139" s="134" t="s">
        <v>935</v>
      </c>
      <c r="I139" s="134" t="s">
        <v>936</v>
      </c>
      <c r="J139">
        <v>0</v>
      </c>
      <c r="K139">
        <v>0</v>
      </c>
    </row>
    <row r="140" spans="1:11" x14ac:dyDescent="0.2">
      <c r="A140" s="165">
        <v>45991.530324074076</v>
      </c>
      <c r="B140" s="134" t="s">
        <v>937</v>
      </c>
      <c r="C140" s="134" t="s">
        <v>938</v>
      </c>
      <c r="D140" s="165">
        <v>46002.180949074071</v>
      </c>
      <c r="E140" s="165">
        <v>46032.080381944441</v>
      </c>
      <c r="F140" s="134" t="s">
        <v>939</v>
      </c>
      <c r="G140">
        <v>4069518470022</v>
      </c>
      <c r="H140" s="134" t="s">
        <v>940</v>
      </c>
      <c r="I140" s="134" t="s">
        <v>356</v>
      </c>
      <c r="J140">
        <v>0</v>
      </c>
      <c r="K140">
        <v>0</v>
      </c>
    </row>
    <row r="141" spans="1:11" x14ac:dyDescent="0.2">
      <c r="A141" s="165">
        <v>45991.452037037037</v>
      </c>
      <c r="B141" s="134" t="s">
        <v>941</v>
      </c>
      <c r="C141" s="134" t="s">
        <v>942</v>
      </c>
      <c r="D141" s="165">
        <v>45997.33699074074</v>
      </c>
      <c r="E141" s="165">
        <v>46034.454965277779</v>
      </c>
      <c r="F141" s="134" t="s">
        <v>535</v>
      </c>
      <c r="G141">
        <v>4069518415399</v>
      </c>
      <c r="H141" s="134" t="s">
        <v>943</v>
      </c>
      <c r="I141" s="134" t="s">
        <v>318</v>
      </c>
      <c r="J141">
        <v>0</v>
      </c>
      <c r="K141">
        <v>0</v>
      </c>
    </row>
    <row r="142" spans="1:11" x14ac:dyDescent="0.2">
      <c r="A142" s="165">
        <v>45991.446863425925</v>
      </c>
      <c r="B142" s="134" t="s">
        <v>944</v>
      </c>
      <c r="C142" s="134" t="s">
        <v>945</v>
      </c>
      <c r="D142" s="165">
        <v>46000.207731481481</v>
      </c>
      <c r="E142" s="165">
        <v>46030.080289351848</v>
      </c>
      <c r="F142" s="134" t="s">
        <v>119</v>
      </c>
      <c r="G142">
        <v>4069518474648</v>
      </c>
      <c r="H142" s="134" t="s">
        <v>946</v>
      </c>
      <c r="I142" s="134" t="s">
        <v>120</v>
      </c>
      <c r="J142">
        <v>0</v>
      </c>
      <c r="K142">
        <v>0</v>
      </c>
    </row>
    <row r="143" spans="1:11" x14ac:dyDescent="0.2">
      <c r="A143" s="165">
        <v>45991.426724537036</v>
      </c>
      <c r="B143" s="134" t="s">
        <v>947</v>
      </c>
      <c r="C143" s="134" t="s">
        <v>948</v>
      </c>
      <c r="D143" s="165">
        <v>46002.180960648147</v>
      </c>
      <c r="E143" s="165">
        <v>46031.080312500002</v>
      </c>
      <c r="F143" s="134" t="s">
        <v>949</v>
      </c>
      <c r="G143">
        <v>4069518469262</v>
      </c>
      <c r="H143" s="134" t="s">
        <v>950</v>
      </c>
      <c r="I143" s="134" t="s">
        <v>351</v>
      </c>
      <c r="J143">
        <v>0</v>
      </c>
      <c r="K143">
        <v>0</v>
      </c>
    </row>
    <row r="144" spans="1:11" x14ac:dyDescent="0.2">
      <c r="A144" s="165">
        <v>45990.920416666668</v>
      </c>
      <c r="B144" s="134" t="s">
        <v>951</v>
      </c>
      <c r="C144" s="134" t="s">
        <v>952</v>
      </c>
      <c r="D144" s="165">
        <v>46000.903055555558</v>
      </c>
      <c r="E144" s="165">
        <v>46033.080138888887</v>
      </c>
      <c r="F144" s="134" t="s">
        <v>779</v>
      </c>
      <c r="G144">
        <v>4069518053065</v>
      </c>
      <c r="H144" s="134" t="s">
        <v>953</v>
      </c>
      <c r="I144" s="134" t="s">
        <v>163</v>
      </c>
      <c r="J144">
        <v>0</v>
      </c>
      <c r="K144">
        <v>0</v>
      </c>
    </row>
    <row r="145" spans="1:11" x14ac:dyDescent="0.2">
      <c r="A145" s="165">
        <v>45990.920416666668</v>
      </c>
      <c r="B145" s="134" t="s">
        <v>951</v>
      </c>
      <c r="C145" s="134" t="s">
        <v>952</v>
      </c>
      <c r="D145" s="165">
        <v>46000.903055555558</v>
      </c>
      <c r="E145" s="165">
        <v>46033.080138888887</v>
      </c>
      <c r="F145" s="134" t="s">
        <v>779</v>
      </c>
      <c r="G145">
        <v>4069518053065</v>
      </c>
      <c r="H145" s="134" t="s">
        <v>953</v>
      </c>
      <c r="I145" s="134" t="s">
        <v>163</v>
      </c>
      <c r="J145">
        <v>0</v>
      </c>
      <c r="K145">
        <v>0</v>
      </c>
    </row>
    <row r="146" spans="1:11" x14ac:dyDescent="0.2">
      <c r="A146" s="165">
        <v>45990.597303240742</v>
      </c>
      <c r="B146" s="134" t="s">
        <v>954</v>
      </c>
      <c r="C146" s="134" t="s">
        <v>955</v>
      </c>
      <c r="D146" s="165">
        <v>45999.22378472222</v>
      </c>
      <c r="E146" s="165">
        <v>46030.080289351848</v>
      </c>
      <c r="F146" s="134" t="s">
        <v>956</v>
      </c>
      <c r="G146">
        <v>4069518466537</v>
      </c>
      <c r="H146" s="134" t="s">
        <v>957</v>
      </c>
      <c r="I146" s="134" t="s">
        <v>342</v>
      </c>
      <c r="J146">
        <v>0</v>
      </c>
      <c r="K146">
        <v>0</v>
      </c>
    </row>
    <row r="147" spans="1:11" x14ac:dyDescent="0.2">
      <c r="A147" s="165">
        <v>45990.490335648145</v>
      </c>
      <c r="B147" s="134" t="s">
        <v>958</v>
      </c>
      <c r="C147" s="134" t="s">
        <v>959</v>
      </c>
      <c r="D147" s="165">
        <v>45997.898194444446</v>
      </c>
      <c r="E147" s="165">
        <v>46026.083541666667</v>
      </c>
      <c r="F147" s="134" t="s">
        <v>960</v>
      </c>
      <c r="G147">
        <v>4069518471869</v>
      </c>
      <c r="H147" s="134" t="s">
        <v>961</v>
      </c>
      <c r="I147" s="134" t="s">
        <v>372</v>
      </c>
      <c r="J147">
        <v>0</v>
      </c>
      <c r="K147">
        <v>0</v>
      </c>
    </row>
    <row r="148" spans="1:11" x14ac:dyDescent="0.2">
      <c r="A148" s="165">
        <v>45990.490335648145</v>
      </c>
      <c r="B148" s="134" t="s">
        <v>958</v>
      </c>
      <c r="C148" s="134" t="s">
        <v>959</v>
      </c>
      <c r="D148" s="165">
        <v>45997.898194444446</v>
      </c>
      <c r="E148" s="165">
        <v>46026.083541666667</v>
      </c>
      <c r="F148" s="134" t="s">
        <v>93</v>
      </c>
      <c r="G148">
        <v>4069518471838</v>
      </c>
      <c r="H148" s="134" t="s">
        <v>961</v>
      </c>
      <c r="I148" s="134" t="s">
        <v>94</v>
      </c>
      <c r="J148">
        <v>0</v>
      </c>
      <c r="K148">
        <v>1</v>
      </c>
    </row>
    <row r="149" spans="1:11" x14ac:dyDescent="0.2">
      <c r="A149" s="165">
        <v>45989.99050925926</v>
      </c>
      <c r="B149" s="134" t="s">
        <v>962</v>
      </c>
      <c r="C149" s="134" t="s">
        <v>963</v>
      </c>
      <c r="D149" s="165">
        <v>45999.201736111114</v>
      </c>
      <c r="E149" s="165">
        <v>46091.403078703705</v>
      </c>
      <c r="F149" s="134" t="s">
        <v>964</v>
      </c>
      <c r="G149">
        <v>4069518308721</v>
      </c>
      <c r="H149" s="134" t="s">
        <v>965</v>
      </c>
      <c r="I149" s="134" t="s">
        <v>272</v>
      </c>
      <c r="J149">
        <v>0</v>
      </c>
      <c r="K149">
        <v>0</v>
      </c>
    </row>
    <row r="150" spans="1:11" x14ac:dyDescent="0.2">
      <c r="A150" s="165">
        <v>45989.718124999999</v>
      </c>
      <c r="B150" s="134" t="s">
        <v>966</v>
      </c>
      <c r="C150" s="134" t="s">
        <v>967</v>
      </c>
      <c r="D150" s="165">
        <v>45996.278541666667</v>
      </c>
      <c r="E150" s="165">
        <v>46025.083587962959</v>
      </c>
      <c r="F150" s="134" t="s">
        <v>968</v>
      </c>
      <c r="G150">
        <v>4069518141458</v>
      </c>
      <c r="H150" s="134" t="s">
        <v>969</v>
      </c>
      <c r="I150" s="134" t="s">
        <v>211</v>
      </c>
      <c r="J150">
        <v>0</v>
      </c>
      <c r="K150">
        <v>1</v>
      </c>
    </row>
    <row r="151" spans="1:11" x14ac:dyDescent="0.2">
      <c r="A151" s="165">
        <v>45989.709768518522</v>
      </c>
      <c r="B151" s="134" t="s">
        <v>970</v>
      </c>
      <c r="C151" s="134" t="s">
        <v>971</v>
      </c>
      <c r="D151" s="165">
        <v>45999.222581018519</v>
      </c>
      <c r="E151" s="165">
        <v>46027.080254629633</v>
      </c>
      <c r="F151" s="134" t="s">
        <v>103</v>
      </c>
      <c r="G151">
        <v>4069518471784</v>
      </c>
      <c r="H151" s="134" t="s">
        <v>972</v>
      </c>
      <c r="I151" s="134" t="s">
        <v>104</v>
      </c>
      <c r="J151">
        <v>0</v>
      </c>
      <c r="K151">
        <v>1</v>
      </c>
    </row>
    <row r="152" spans="1:11" x14ac:dyDescent="0.2">
      <c r="A152" s="165">
        <v>45989.681284722225</v>
      </c>
      <c r="B152" s="134" t="s">
        <v>973</v>
      </c>
      <c r="C152" s="134" t="s">
        <v>974</v>
      </c>
      <c r="D152" s="165">
        <v>45996.232800925929</v>
      </c>
      <c r="E152" s="165">
        <v>46010.583414351851</v>
      </c>
      <c r="F152" s="134" t="s">
        <v>810</v>
      </c>
      <c r="G152">
        <v>4069518236192</v>
      </c>
      <c r="H152" s="134" t="s">
        <v>975</v>
      </c>
      <c r="I152" s="134" t="s">
        <v>812</v>
      </c>
      <c r="J152">
        <v>0</v>
      </c>
      <c r="K152">
        <v>1</v>
      </c>
    </row>
    <row r="153" spans="1:11" x14ac:dyDescent="0.2">
      <c r="A153" s="165">
        <v>45989.675243055557</v>
      </c>
      <c r="B153" s="134" t="s">
        <v>976</v>
      </c>
      <c r="C153" s="134" t="s">
        <v>977</v>
      </c>
      <c r="D153" s="165">
        <v>45996.233425925922</v>
      </c>
      <c r="E153" s="165">
        <v>46051.076516203706</v>
      </c>
      <c r="F153" s="134" t="s">
        <v>978</v>
      </c>
      <c r="G153">
        <v>4069518473122</v>
      </c>
      <c r="H153" s="134" t="s">
        <v>979</v>
      </c>
      <c r="I153" s="134" t="s">
        <v>376</v>
      </c>
      <c r="J153">
        <v>0</v>
      </c>
      <c r="K153">
        <v>0</v>
      </c>
    </row>
    <row r="154" spans="1:11" x14ac:dyDescent="0.2">
      <c r="A154" s="165">
        <v>45989.405451388891</v>
      </c>
      <c r="B154" s="134" t="s">
        <v>980</v>
      </c>
      <c r="C154" s="134" t="s">
        <v>981</v>
      </c>
      <c r="D154" s="165">
        <v>45999.179456018515</v>
      </c>
      <c r="E154" s="165">
        <v>46027.080069444448</v>
      </c>
      <c r="F154" s="134" t="s">
        <v>982</v>
      </c>
      <c r="G154">
        <v>4069518057025</v>
      </c>
      <c r="H154" s="134" t="s">
        <v>983</v>
      </c>
      <c r="I154" s="134" t="s">
        <v>169</v>
      </c>
      <c r="J154">
        <v>0</v>
      </c>
      <c r="K154">
        <v>1</v>
      </c>
    </row>
    <row r="155" spans="1:11" x14ac:dyDescent="0.2">
      <c r="A155" s="165">
        <v>45989.387361111112</v>
      </c>
      <c r="B155" s="134" t="s">
        <v>984</v>
      </c>
      <c r="C155" s="134" t="s">
        <v>985</v>
      </c>
      <c r="D155" s="165">
        <v>46003.224432870367</v>
      </c>
      <c r="E155" s="165">
        <v>46036.079942129632</v>
      </c>
      <c r="F155" s="134" t="s">
        <v>986</v>
      </c>
      <c r="G155">
        <v>4069518468692</v>
      </c>
      <c r="H155" s="134" t="s">
        <v>987</v>
      </c>
      <c r="I155" s="134" t="s">
        <v>348</v>
      </c>
      <c r="J155">
        <v>0</v>
      </c>
      <c r="K155">
        <v>0</v>
      </c>
    </row>
    <row r="156" spans="1:11" x14ac:dyDescent="0.2">
      <c r="A156" s="165">
        <v>45989.385717592595</v>
      </c>
      <c r="B156" s="134" t="s">
        <v>988</v>
      </c>
      <c r="C156" s="134" t="s">
        <v>989</v>
      </c>
      <c r="D156" s="165">
        <v>45999.22383101852</v>
      </c>
      <c r="E156" s="165">
        <v>46027.080254629633</v>
      </c>
      <c r="F156" s="134" t="s">
        <v>640</v>
      </c>
      <c r="G156">
        <v>4069518471876</v>
      </c>
      <c r="H156" s="134" t="s">
        <v>990</v>
      </c>
      <c r="I156" s="134" t="s">
        <v>373</v>
      </c>
      <c r="J156">
        <v>0</v>
      </c>
      <c r="K156">
        <v>0</v>
      </c>
    </row>
    <row r="157" spans="1:11" x14ac:dyDescent="0.2">
      <c r="A157" s="165">
        <v>45988.390706018516</v>
      </c>
      <c r="B157" s="134" t="s">
        <v>944</v>
      </c>
      <c r="C157" s="134" t="s">
        <v>991</v>
      </c>
      <c r="D157" s="165">
        <v>46000.207731481481</v>
      </c>
      <c r="E157" s="165">
        <v>46030.080289351848</v>
      </c>
      <c r="F157" s="134" t="s">
        <v>992</v>
      </c>
      <c r="G157">
        <v>4069518508213</v>
      </c>
      <c r="H157" s="134" t="s">
        <v>993</v>
      </c>
      <c r="I157" s="134" t="s">
        <v>396</v>
      </c>
      <c r="J157">
        <v>0</v>
      </c>
      <c r="K157">
        <v>0</v>
      </c>
    </row>
    <row r="158" spans="1:11" x14ac:dyDescent="0.2">
      <c r="A158" s="165">
        <v>45987.355439814812</v>
      </c>
      <c r="B158" s="134" t="s">
        <v>994</v>
      </c>
      <c r="C158" s="134" t="s">
        <v>995</v>
      </c>
      <c r="D158" s="165">
        <v>45993.152986111112</v>
      </c>
      <c r="E158" s="165">
        <v>46024.08017361111</v>
      </c>
      <c r="F158" s="134" t="s">
        <v>996</v>
      </c>
      <c r="G158">
        <v>4069518257722</v>
      </c>
      <c r="H158" s="134" t="s">
        <v>997</v>
      </c>
      <c r="I158" s="134" t="s">
        <v>246</v>
      </c>
      <c r="J158">
        <v>0</v>
      </c>
      <c r="K158">
        <v>1</v>
      </c>
    </row>
    <row r="159" spans="1:11" x14ac:dyDescent="0.2">
      <c r="A159" s="165">
        <v>45986.868113425924</v>
      </c>
      <c r="B159" s="134" t="s">
        <v>998</v>
      </c>
      <c r="C159" s="134" t="s">
        <v>999</v>
      </c>
      <c r="D159" s="165">
        <v>45992.348773148151</v>
      </c>
      <c r="E159" s="165">
        <v>46020.08021990741</v>
      </c>
      <c r="F159" s="134" t="s">
        <v>109</v>
      </c>
      <c r="G159">
        <v>4069518471739</v>
      </c>
      <c r="H159" s="134" t="s">
        <v>1000</v>
      </c>
      <c r="I159" s="134" t="s">
        <v>110</v>
      </c>
      <c r="J159">
        <v>0</v>
      </c>
      <c r="K159">
        <v>0</v>
      </c>
    </row>
    <row r="160" spans="1:11" x14ac:dyDescent="0.2">
      <c r="A160" s="165">
        <v>45986.781331018516</v>
      </c>
      <c r="B160" s="134" t="s">
        <v>1001</v>
      </c>
      <c r="C160" s="134" t="s">
        <v>1002</v>
      </c>
      <c r="D160" s="165">
        <v>45993.989050925928</v>
      </c>
      <c r="E160" s="165">
        <v>46024.083506944444</v>
      </c>
      <c r="F160" s="134" t="s">
        <v>1003</v>
      </c>
      <c r="G160">
        <v>4069518257685</v>
      </c>
      <c r="H160" s="134" t="s">
        <v>1004</v>
      </c>
      <c r="I160" s="134" t="s">
        <v>244</v>
      </c>
      <c r="J160">
        <v>0</v>
      </c>
      <c r="K160">
        <v>1</v>
      </c>
    </row>
    <row r="161" spans="1:11" x14ac:dyDescent="0.2">
      <c r="A161" s="165">
        <v>45985.733055555553</v>
      </c>
      <c r="B161" s="134" t="s">
        <v>1005</v>
      </c>
      <c r="C161" s="134" t="s">
        <v>1006</v>
      </c>
      <c r="D161" s="165">
        <v>45993.189710648148</v>
      </c>
      <c r="E161" s="165">
        <v>46040.080092592594</v>
      </c>
      <c r="F161" s="134" t="s">
        <v>93</v>
      </c>
      <c r="G161">
        <v>4069518471838</v>
      </c>
      <c r="H161" s="134" t="s">
        <v>1007</v>
      </c>
      <c r="I161" s="134" t="s">
        <v>94</v>
      </c>
      <c r="J161">
        <v>0</v>
      </c>
      <c r="K161">
        <v>1</v>
      </c>
    </row>
    <row r="162" spans="1:11" x14ac:dyDescent="0.2">
      <c r="A162" s="165">
        <v>45984.568483796298</v>
      </c>
      <c r="B162" s="134" t="s">
        <v>1008</v>
      </c>
      <c r="C162" s="134" t="s">
        <v>1009</v>
      </c>
      <c r="D162" s="165">
        <v>45990.168113425927</v>
      </c>
      <c r="E162" s="165">
        <v>46020.08021990741</v>
      </c>
      <c r="F162" s="134" t="s">
        <v>1010</v>
      </c>
      <c r="G162">
        <v>4069518377048</v>
      </c>
      <c r="H162" s="134" t="s">
        <v>1011</v>
      </c>
      <c r="I162" s="134" t="s">
        <v>289</v>
      </c>
      <c r="J162">
        <v>0</v>
      </c>
      <c r="K162">
        <v>0</v>
      </c>
    </row>
    <row r="163" spans="1:11" x14ac:dyDescent="0.2">
      <c r="A163" s="165">
        <v>45984.417303240742</v>
      </c>
      <c r="B163" s="134" t="s">
        <v>1012</v>
      </c>
      <c r="C163" s="134" t="s">
        <v>1013</v>
      </c>
      <c r="D163" s="165">
        <v>45992.348043981481</v>
      </c>
      <c r="E163" s="165">
        <v>46020.08021990741</v>
      </c>
      <c r="F163" s="134" t="s">
        <v>1014</v>
      </c>
      <c r="G163">
        <v>4069518376072</v>
      </c>
      <c r="H163" s="134" t="s">
        <v>1015</v>
      </c>
      <c r="I163" s="134" t="s">
        <v>284</v>
      </c>
      <c r="J163">
        <v>0</v>
      </c>
      <c r="K163">
        <v>0</v>
      </c>
    </row>
    <row r="164" spans="1:11" x14ac:dyDescent="0.2">
      <c r="A164" s="165">
        <v>45983.958518518521</v>
      </c>
      <c r="B164" s="134" t="s">
        <v>1016</v>
      </c>
      <c r="C164" s="134" t="s">
        <v>1017</v>
      </c>
      <c r="D164" s="165">
        <v>45992.219571759262</v>
      </c>
      <c r="E164" s="165">
        <v>46021.080347222225</v>
      </c>
      <c r="F164" s="134" t="s">
        <v>1018</v>
      </c>
      <c r="G164">
        <v>4069518156254</v>
      </c>
      <c r="H164" s="134" t="s">
        <v>1019</v>
      </c>
      <c r="I164" s="134" t="s">
        <v>215</v>
      </c>
      <c r="J164">
        <v>1</v>
      </c>
      <c r="K164">
        <v>0</v>
      </c>
    </row>
    <row r="165" spans="1:11" x14ac:dyDescent="0.2">
      <c r="A165" s="165">
        <v>45983.734120370369</v>
      </c>
      <c r="B165" s="134" t="s">
        <v>1020</v>
      </c>
      <c r="C165" s="134" t="s">
        <v>1021</v>
      </c>
      <c r="D165" s="165">
        <v>45992.349432870367</v>
      </c>
      <c r="E165" s="165">
        <v>46002.795277777775</v>
      </c>
      <c r="F165" s="134" t="s">
        <v>978</v>
      </c>
      <c r="G165">
        <v>4069518473122</v>
      </c>
      <c r="H165" s="134" t="s">
        <v>1022</v>
      </c>
      <c r="I165" s="134" t="s">
        <v>376</v>
      </c>
      <c r="J165">
        <v>0</v>
      </c>
      <c r="K165">
        <v>0</v>
      </c>
    </row>
    <row r="166" spans="1:11" x14ac:dyDescent="0.2">
      <c r="A166" s="165">
        <v>45983.679363425923</v>
      </c>
      <c r="B166" s="134" t="s">
        <v>431</v>
      </c>
      <c r="C166" s="134" t="s">
        <v>1023</v>
      </c>
      <c r="D166" s="165">
        <v>45994.999988425923</v>
      </c>
      <c r="E166" s="165">
        <v>45985.631990740738</v>
      </c>
      <c r="F166" s="134" t="s">
        <v>1024</v>
      </c>
      <c r="G166">
        <v>4069518457641</v>
      </c>
      <c r="H166" s="134" t="s">
        <v>1025</v>
      </c>
      <c r="I166" s="134" t="s">
        <v>324</v>
      </c>
      <c r="J166">
        <v>0</v>
      </c>
      <c r="K166">
        <v>0</v>
      </c>
    </row>
    <row r="167" spans="1:11" x14ac:dyDescent="0.2">
      <c r="A167" s="165">
        <v>45983.367708333331</v>
      </c>
      <c r="B167" s="134" t="s">
        <v>1026</v>
      </c>
      <c r="C167" s="134" t="s">
        <v>1027</v>
      </c>
      <c r="D167" s="165">
        <v>45990.201562499999</v>
      </c>
      <c r="E167" s="165">
        <v>46051.441087962965</v>
      </c>
      <c r="F167" s="134" t="s">
        <v>115</v>
      </c>
      <c r="G167">
        <v>4069518512890</v>
      </c>
      <c r="H167" s="134" t="s">
        <v>1028</v>
      </c>
      <c r="I167" s="134" t="s">
        <v>116</v>
      </c>
      <c r="J167">
        <v>0</v>
      </c>
      <c r="K167">
        <v>0</v>
      </c>
    </row>
    <row r="168" spans="1:11" x14ac:dyDescent="0.2">
      <c r="A168" s="165">
        <v>45983.320115740738</v>
      </c>
      <c r="B168" s="134" t="s">
        <v>1029</v>
      </c>
      <c r="C168" s="134" t="s">
        <v>1030</v>
      </c>
      <c r="D168" s="165">
        <v>45993.189131944448</v>
      </c>
      <c r="E168" s="165">
        <v>45999.076493055552</v>
      </c>
      <c r="F168" s="134" t="s">
        <v>1031</v>
      </c>
      <c r="G168">
        <v>4069518139653</v>
      </c>
      <c r="H168" s="134" t="s">
        <v>1032</v>
      </c>
      <c r="I168" s="134" t="s">
        <v>208</v>
      </c>
      <c r="J168">
        <v>1</v>
      </c>
      <c r="K168">
        <v>0</v>
      </c>
    </row>
    <row r="169" spans="1:11" x14ac:dyDescent="0.2">
      <c r="A169" s="165">
        <v>45982.832511574074</v>
      </c>
      <c r="B169" s="134" t="s">
        <v>1033</v>
      </c>
      <c r="C169" s="134" t="s">
        <v>1034</v>
      </c>
      <c r="D169" s="165">
        <v>45995.172453703701</v>
      </c>
      <c r="E169" s="165">
        <v>46024.08017361111</v>
      </c>
      <c r="F169" s="134" t="s">
        <v>1035</v>
      </c>
      <c r="G169">
        <v>4069518415450</v>
      </c>
      <c r="H169" s="134" t="s">
        <v>1036</v>
      </c>
      <c r="I169" s="134" t="s">
        <v>320</v>
      </c>
      <c r="J169">
        <v>0</v>
      </c>
      <c r="K169">
        <v>0</v>
      </c>
    </row>
    <row r="170" spans="1:11" x14ac:dyDescent="0.2">
      <c r="A170" s="165">
        <v>45982.778692129628</v>
      </c>
      <c r="B170" s="134" t="s">
        <v>1037</v>
      </c>
      <c r="C170" s="134" t="s">
        <v>1038</v>
      </c>
      <c r="D170" s="165">
        <v>45989.083622685182</v>
      </c>
      <c r="E170" s="165">
        <v>46021.080347222225</v>
      </c>
      <c r="F170" s="134" t="s">
        <v>1039</v>
      </c>
      <c r="G170">
        <v>4069518257616</v>
      </c>
      <c r="H170" s="134" t="s">
        <v>1040</v>
      </c>
      <c r="I170" s="134" t="s">
        <v>243</v>
      </c>
      <c r="J170">
        <v>1</v>
      </c>
      <c r="K170">
        <v>0</v>
      </c>
    </row>
    <row r="171" spans="1:11" x14ac:dyDescent="0.2">
      <c r="A171" s="165">
        <v>45982.576539351852</v>
      </c>
      <c r="B171" s="134" t="s">
        <v>1041</v>
      </c>
      <c r="C171" s="134" t="s">
        <v>1042</v>
      </c>
      <c r="D171" s="165">
        <v>45992.349479166667</v>
      </c>
      <c r="E171" s="165">
        <v>46020.083587962959</v>
      </c>
      <c r="F171" s="134" t="s">
        <v>1043</v>
      </c>
      <c r="G171">
        <v>4069518514290</v>
      </c>
      <c r="H171" s="134" t="s">
        <v>1044</v>
      </c>
      <c r="I171" s="134" t="s">
        <v>409</v>
      </c>
      <c r="J171">
        <v>0</v>
      </c>
      <c r="K171">
        <v>0</v>
      </c>
    </row>
    <row r="172" spans="1:11" x14ac:dyDescent="0.2">
      <c r="A172" s="165">
        <v>45982.503877314812</v>
      </c>
      <c r="B172" s="134" t="s">
        <v>1045</v>
      </c>
      <c r="C172" s="134" t="s">
        <v>1046</v>
      </c>
      <c r="D172" s="165">
        <v>45990.200150462966</v>
      </c>
      <c r="E172" s="165">
        <v>46019.080127314817</v>
      </c>
      <c r="F172" s="134" t="s">
        <v>1047</v>
      </c>
      <c r="G172">
        <v>4069518460696</v>
      </c>
      <c r="H172" s="134" t="s">
        <v>1048</v>
      </c>
      <c r="I172" s="134" t="s">
        <v>333</v>
      </c>
      <c r="J172">
        <v>0</v>
      </c>
      <c r="K172">
        <v>0</v>
      </c>
    </row>
    <row r="173" spans="1:11" x14ac:dyDescent="0.2">
      <c r="A173" s="165">
        <v>45981.98097222222</v>
      </c>
      <c r="B173" s="134" t="s">
        <v>1049</v>
      </c>
      <c r="C173" s="134" t="s">
        <v>1050</v>
      </c>
      <c r="D173" s="165">
        <v>45988.205023148148</v>
      </c>
      <c r="E173" s="165">
        <v>46018.08016203704</v>
      </c>
      <c r="F173" s="134" t="s">
        <v>1051</v>
      </c>
      <c r="G173">
        <v>4069518226377</v>
      </c>
      <c r="H173" s="134" t="s">
        <v>1052</v>
      </c>
      <c r="I173" s="134" t="s">
        <v>1053</v>
      </c>
      <c r="J173">
        <v>1</v>
      </c>
      <c r="K173">
        <v>0</v>
      </c>
    </row>
    <row r="174" spans="1:11" x14ac:dyDescent="0.2">
      <c r="A174" s="165">
        <v>45981.964224537034</v>
      </c>
      <c r="B174" s="134" t="s">
        <v>1054</v>
      </c>
      <c r="C174" s="134" t="s">
        <v>1055</v>
      </c>
      <c r="D174" s="165">
        <v>45990.200833333336</v>
      </c>
      <c r="E174" s="165">
        <v>46019.080127314817</v>
      </c>
      <c r="F174" s="134" t="s">
        <v>1056</v>
      </c>
      <c r="G174">
        <v>4069518461808</v>
      </c>
      <c r="H174" s="134" t="s">
        <v>1057</v>
      </c>
      <c r="I174" s="134" t="s">
        <v>336</v>
      </c>
      <c r="J174">
        <v>0</v>
      </c>
      <c r="K174">
        <v>0</v>
      </c>
    </row>
    <row r="175" spans="1:11" x14ac:dyDescent="0.2">
      <c r="A175" s="165">
        <v>45981.936874999999</v>
      </c>
      <c r="B175" s="134" t="s">
        <v>431</v>
      </c>
      <c r="C175" s="134" t="s">
        <v>431</v>
      </c>
      <c r="D175" s="165">
        <v>45992.999988425923</v>
      </c>
      <c r="E175" s="165">
        <v>45982.024409722224</v>
      </c>
      <c r="F175" s="134" t="s">
        <v>1058</v>
      </c>
      <c r="G175">
        <v>4069518107706</v>
      </c>
      <c r="H175" s="134" t="s">
        <v>1059</v>
      </c>
      <c r="I175" s="134" t="s">
        <v>205</v>
      </c>
      <c r="J175">
        <v>1</v>
      </c>
      <c r="K175">
        <v>0</v>
      </c>
    </row>
    <row r="176" spans="1:11" x14ac:dyDescent="0.2">
      <c r="A176" s="165">
        <v>45981.690601851849</v>
      </c>
      <c r="B176" s="134" t="s">
        <v>1060</v>
      </c>
      <c r="C176" s="134" t="s">
        <v>1061</v>
      </c>
      <c r="D176" s="165">
        <v>45988.247997685183</v>
      </c>
      <c r="E176" s="165">
        <v>46042.704988425925</v>
      </c>
      <c r="F176" s="134" t="s">
        <v>903</v>
      </c>
      <c r="G176">
        <v>4069518254325</v>
      </c>
      <c r="H176" s="134" t="s">
        <v>1062</v>
      </c>
      <c r="I176" s="134" t="s">
        <v>233</v>
      </c>
      <c r="J176">
        <v>1</v>
      </c>
      <c r="K176">
        <v>0</v>
      </c>
    </row>
    <row r="177" spans="1:11" x14ac:dyDescent="0.2">
      <c r="A177" s="165">
        <v>45981.354490740741</v>
      </c>
      <c r="B177" s="134" t="s">
        <v>1063</v>
      </c>
      <c r="C177" s="134" t="s">
        <v>1064</v>
      </c>
      <c r="D177" s="165">
        <v>45988.097361111111</v>
      </c>
      <c r="E177" s="165">
        <v>46017.080081018517</v>
      </c>
      <c r="F177" s="134" t="s">
        <v>1065</v>
      </c>
      <c r="G177">
        <v>4069518457870</v>
      </c>
      <c r="H177" s="134" t="s">
        <v>1066</v>
      </c>
      <c r="I177" s="134" t="s">
        <v>325</v>
      </c>
      <c r="J177">
        <v>0</v>
      </c>
      <c r="K177">
        <v>0</v>
      </c>
    </row>
    <row r="178" spans="1:11" x14ac:dyDescent="0.2">
      <c r="A178" s="165">
        <v>45981.292280092595</v>
      </c>
      <c r="B178" s="134" t="s">
        <v>1067</v>
      </c>
      <c r="C178" s="134" t="s">
        <v>1068</v>
      </c>
      <c r="D178" s="165">
        <v>45988.161157407405</v>
      </c>
      <c r="E178" s="165">
        <v>46017.080081018517</v>
      </c>
      <c r="F178" s="134" t="s">
        <v>1069</v>
      </c>
      <c r="G178">
        <v>741575662018</v>
      </c>
      <c r="H178" s="134" t="s">
        <v>1070</v>
      </c>
      <c r="I178" s="134" t="s">
        <v>1071</v>
      </c>
      <c r="J178">
        <v>1</v>
      </c>
      <c r="K178">
        <v>0</v>
      </c>
    </row>
    <row r="179" spans="1:11" x14ac:dyDescent="0.2">
      <c r="A179" s="165">
        <v>45979.819594907407</v>
      </c>
      <c r="B179" s="134" t="s">
        <v>1072</v>
      </c>
      <c r="C179" s="134" t="s">
        <v>1073</v>
      </c>
      <c r="D179" s="165">
        <v>45986.138483796298</v>
      </c>
      <c r="E179" s="165">
        <v>46016.080127314817</v>
      </c>
      <c r="F179" s="134" t="s">
        <v>1074</v>
      </c>
      <c r="G179">
        <v>4069518022306</v>
      </c>
      <c r="H179" s="134" t="s">
        <v>1075</v>
      </c>
      <c r="I179" s="134" t="s">
        <v>191</v>
      </c>
      <c r="J179">
        <v>0</v>
      </c>
      <c r="K179">
        <v>0</v>
      </c>
    </row>
    <row r="180" spans="1:11" x14ac:dyDescent="0.2">
      <c r="A180" s="165">
        <v>45978.254849537036</v>
      </c>
      <c r="B180" s="134" t="s">
        <v>1076</v>
      </c>
      <c r="C180" s="134" t="s">
        <v>1077</v>
      </c>
      <c r="D180" s="165">
        <v>45983.18209490741</v>
      </c>
      <c r="E180" s="165">
        <v>46012.08011574074</v>
      </c>
      <c r="F180" s="134" t="s">
        <v>968</v>
      </c>
      <c r="G180">
        <v>4069518141458</v>
      </c>
      <c r="H180" s="134" t="s">
        <v>1078</v>
      </c>
      <c r="I180" s="134" t="s">
        <v>211</v>
      </c>
      <c r="J180">
        <v>1</v>
      </c>
      <c r="K180">
        <v>0</v>
      </c>
    </row>
    <row r="181" spans="1:11" x14ac:dyDescent="0.2">
      <c r="A181" s="165">
        <v>45977.918287037035</v>
      </c>
      <c r="B181" s="134" t="s">
        <v>1079</v>
      </c>
      <c r="C181" s="134" t="s">
        <v>1080</v>
      </c>
      <c r="D181" s="165">
        <v>45983.227210648147</v>
      </c>
      <c r="E181" s="165">
        <v>46013.080104166664</v>
      </c>
      <c r="F181" s="134" t="s">
        <v>728</v>
      </c>
      <c r="G181">
        <v>4069518510636</v>
      </c>
      <c r="H181" s="134" t="s">
        <v>1081</v>
      </c>
      <c r="I181" s="134" t="s">
        <v>403</v>
      </c>
      <c r="J181">
        <v>0</v>
      </c>
      <c r="K181">
        <v>0</v>
      </c>
    </row>
    <row r="182" spans="1:11" x14ac:dyDescent="0.2">
      <c r="A182" s="165">
        <v>45977.739050925928</v>
      </c>
      <c r="B182" s="134" t="s">
        <v>1082</v>
      </c>
      <c r="C182" s="134" t="s">
        <v>1083</v>
      </c>
      <c r="D182" s="165">
        <v>45985.159872685188</v>
      </c>
      <c r="E182" s="165">
        <v>46014.080034722225</v>
      </c>
      <c r="F182" s="134" t="s">
        <v>1084</v>
      </c>
      <c r="G182">
        <v>4069518062432</v>
      </c>
      <c r="H182" s="134" t="s">
        <v>1085</v>
      </c>
      <c r="I182" s="134" t="s">
        <v>182</v>
      </c>
      <c r="J182">
        <v>1</v>
      </c>
      <c r="K182">
        <v>0</v>
      </c>
    </row>
    <row r="183" spans="1:11" x14ac:dyDescent="0.2">
      <c r="A183" s="165">
        <v>45977.739050925928</v>
      </c>
      <c r="B183" s="134" t="s">
        <v>1082</v>
      </c>
      <c r="C183" s="134" t="s">
        <v>1083</v>
      </c>
      <c r="D183" s="165">
        <v>45985.159872685188</v>
      </c>
      <c r="E183" s="165">
        <v>46014.080034722225</v>
      </c>
      <c r="F183" s="134" t="s">
        <v>1084</v>
      </c>
      <c r="G183">
        <v>4069518062432</v>
      </c>
      <c r="H183" s="134" t="s">
        <v>1085</v>
      </c>
      <c r="I183" s="134" t="s">
        <v>182</v>
      </c>
      <c r="J183">
        <v>1</v>
      </c>
      <c r="K183">
        <v>0</v>
      </c>
    </row>
    <row r="184" spans="1:11" x14ac:dyDescent="0.2">
      <c r="A184" s="165">
        <v>45977.708194444444</v>
      </c>
      <c r="B184" s="134" t="s">
        <v>1086</v>
      </c>
      <c r="C184" s="134" t="s">
        <v>1087</v>
      </c>
      <c r="D184" s="165">
        <v>45986.138506944444</v>
      </c>
      <c r="E184" s="165">
        <v>46016.080069444448</v>
      </c>
      <c r="F184" s="134" t="s">
        <v>1088</v>
      </c>
      <c r="G184">
        <v>4069518461471</v>
      </c>
      <c r="H184" s="134" t="s">
        <v>1089</v>
      </c>
      <c r="I184" s="134" t="s">
        <v>335</v>
      </c>
      <c r="J184">
        <v>0</v>
      </c>
      <c r="K184">
        <v>0</v>
      </c>
    </row>
    <row r="185" spans="1:11" x14ac:dyDescent="0.2">
      <c r="A185" s="165">
        <v>45977.556030092594</v>
      </c>
      <c r="B185" s="134" t="s">
        <v>1090</v>
      </c>
      <c r="C185" s="134" t="s">
        <v>1091</v>
      </c>
      <c r="D185" s="165">
        <v>45985.332094907404</v>
      </c>
      <c r="E185" s="165">
        <v>46018.083506944444</v>
      </c>
      <c r="F185" s="134" t="s">
        <v>846</v>
      </c>
      <c r="G185">
        <v>4069518008942</v>
      </c>
      <c r="H185" s="134" t="s">
        <v>1092</v>
      </c>
      <c r="I185" s="134" t="s">
        <v>848</v>
      </c>
      <c r="J185">
        <v>1</v>
      </c>
      <c r="K185">
        <v>0</v>
      </c>
    </row>
    <row r="186" spans="1:11" x14ac:dyDescent="0.2">
      <c r="A186" s="165">
        <v>45977.496168981481</v>
      </c>
      <c r="B186" s="134" t="s">
        <v>431</v>
      </c>
      <c r="C186" s="134" t="s">
        <v>1093</v>
      </c>
      <c r="D186" s="165">
        <v>45987.999988425923</v>
      </c>
      <c r="E186" s="165">
        <v>46032.333437499998</v>
      </c>
      <c r="F186" s="134" t="s">
        <v>706</v>
      </c>
      <c r="G186">
        <v>4069518302743</v>
      </c>
      <c r="H186" s="134" t="s">
        <v>1094</v>
      </c>
      <c r="I186" s="134" t="s">
        <v>262</v>
      </c>
      <c r="J186">
        <v>0</v>
      </c>
      <c r="K186">
        <v>0</v>
      </c>
    </row>
    <row r="187" spans="1:11" x14ac:dyDescent="0.2">
      <c r="A187" s="165">
        <v>45976.723252314812</v>
      </c>
      <c r="B187" s="134" t="s">
        <v>1095</v>
      </c>
      <c r="C187" s="134" t="s">
        <v>1096</v>
      </c>
      <c r="D187" s="165">
        <v>45983.291076388887</v>
      </c>
      <c r="E187" s="165">
        <v>46012.08011574074</v>
      </c>
      <c r="F187" s="134" t="s">
        <v>1097</v>
      </c>
      <c r="G187">
        <v>4069518257715</v>
      </c>
      <c r="H187" s="134" t="s">
        <v>1098</v>
      </c>
      <c r="I187" s="134" t="s">
        <v>245</v>
      </c>
      <c r="J187">
        <v>1</v>
      </c>
      <c r="K187">
        <v>0</v>
      </c>
    </row>
    <row r="188" spans="1:11" x14ac:dyDescent="0.2">
      <c r="A188" s="165">
        <v>45976.715428240743</v>
      </c>
      <c r="B188" s="134" t="s">
        <v>1099</v>
      </c>
      <c r="C188" s="134" t="s">
        <v>1100</v>
      </c>
      <c r="D188" s="165">
        <v>45983.181342592594</v>
      </c>
      <c r="E188" s="165">
        <v>46016.080069444448</v>
      </c>
      <c r="F188" s="134" t="s">
        <v>1101</v>
      </c>
      <c r="G188">
        <v>4069518001790</v>
      </c>
      <c r="H188" s="134" t="s">
        <v>1102</v>
      </c>
      <c r="I188" s="134" t="s">
        <v>185</v>
      </c>
      <c r="J188">
        <v>1</v>
      </c>
      <c r="K188">
        <v>0</v>
      </c>
    </row>
    <row r="189" spans="1:11" x14ac:dyDescent="0.2">
      <c r="A189" s="165">
        <v>45973.758564814816</v>
      </c>
      <c r="B189" s="134" t="s">
        <v>1103</v>
      </c>
      <c r="C189" s="134" t="s">
        <v>1104</v>
      </c>
      <c r="D189" s="165">
        <v>45979.152245370373</v>
      </c>
      <c r="E189" s="165">
        <v>46009.080081018517</v>
      </c>
      <c r="F189" s="134" t="s">
        <v>1105</v>
      </c>
      <c r="G189">
        <v>4069518457443</v>
      </c>
      <c r="H189" s="134" t="s">
        <v>1106</v>
      </c>
      <c r="I189" s="134" t="s">
        <v>322</v>
      </c>
      <c r="J189">
        <v>0</v>
      </c>
      <c r="K189">
        <v>0</v>
      </c>
    </row>
    <row r="190" spans="1:11" x14ac:dyDescent="0.2">
      <c r="A190" s="165">
        <v>45973.638055555559</v>
      </c>
      <c r="B190" s="134" t="s">
        <v>1107</v>
      </c>
      <c r="C190" s="134" t="s">
        <v>1108</v>
      </c>
      <c r="D190" s="165">
        <v>45983.227187500001</v>
      </c>
      <c r="E190" s="165">
        <v>46012.080046296294</v>
      </c>
      <c r="F190" s="134" t="s">
        <v>1074</v>
      </c>
      <c r="G190">
        <v>4069518022306</v>
      </c>
      <c r="H190" s="134" t="s">
        <v>1109</v>
      </c>
      <c r="I190" s="134" t="s">
        <v>191</v>
      </c>
      <c r="J190">
        <v>0</v>
      </c>
      <c r="K190">
        <v>0</v>
      </c>
    </row>
    <row r="191" spans="1:11" x14ac:dyDescent="0.2">
      <c r="A191" s="165">
        <v>45973.546076388891</v>
      </c>
      <c r="B191" s="134" t="s">
        <v>1110</v>
      </c>
      <c r="C191" s="134" t="s">
        <v>1111</v>
      </c>
      <c r="D191" s="165">
        <v>45983.205000000002</v>
      </c>
      <c r="E191" s="165">
        <v>46014.080034722225</v>
      </c>
      <c r="F191" s="134" t="s">
        <v>846</v>
      </c>
      <c r="G191">
        <v>4069518008942</v>
      </c>
      <c r="H191" s="134" t="s">
        <v>1112</v>
      </c>
      <c r="I191" s="134" t="s">
        <v>848</v>
      </c>
      <c r="J191">
        <v>1</v>
      </c>
      <c r="K191">
        <v>0</v>
      </c>
    </row>
    <row r="192" spans="1:11" x14ac:dyDescent="0.2">
      <c r="A192" s="165">
        <v>45971.918483796297</v>
      </c>
      <c r="B192" s="134" t="s">
        <v>1113</v>
      </c>
      <c r="C192" s="134" t="s">
        <v>1114</v>
      </c>
      <c r="D192" s="165">
        <v>45981.14534722222</v>
      </c>
      <c r="E192" s="165">
        <v>46010.080196759256</v>
      </c>
      <c r="F192" s="134" t="s">
        <v>1115</v>
      </c>
      <c r="G192">
        <v>4069518512920</v>
      </c>
      <c r="H192" s="134" t="s">
        <v>1116</v>
      </c>
      <c r="I192" s="134" t="s">
        <v>407</v>
      </c>
      <c r="J192">
        <v>0</v>
      </c>
      <c r="K192">
        <v>0</v>
      </c>
    </row>
    <row r="193" spans="1:11" x14ac:dyDescent="0.2">
      <c r="A193" s="165">
        <v>45971.625335648147</v>
      </c>
      <c r="B193" s="134" t="s">
        <v>1117</v>
      </c>
      <c r="C193" s="134" t="s">
        <v>1118</v>
      </c>
      <c r="D193" s="165">
        <v>45983.24795138889</v>
      </c>
      <c r="E193" s="165">
        <v>46012.08011574074</v>
      </c>
      <c r="F193" s="134" t="s">
        <v>1119</v>
      </c>
      <c r="G193">
        <v>4069518260852</v>
      </c>
      <c r="H193" s="134" t="s">
        <v>1120</v>
      </c>
      <c r="I193" s="134" t="s">
        <v>258</v>
      </c>
      <c r="J193">
        <v>1</v>
      </c>
      <c r="K193">
        <v>0</v>
      </c>
    </row>
    <row r="194" spans="1:11" x14ac:dyDescent="0.2">
      <c r="A194" s="165">
        <v>45970.738506944443</v>
      </c>
      <c r="B194" s="134" t="s">
        <v>1121</v>
      </c>
      <c r="C194" s="134" t="s">
        <v>1122</v>
      </c>
      <c r="D194" s="165">
        <v>45986.115393518521</v>
      </c>
      <c r="E194" s="165">
        <v>46014.080034722225</v>
      </c>
      <c r="F194" s="134" t="s">
        <v>99</v>
      </c>
      <c r="G194">
        <v>4069518507278</v>
      </c>
      <c r="H194" s="134" t="s">
        <v>1123</v>
      </c>
      <c r="I194" s="134" t="s">
        <v>100</v>
      </c>
      <c r="J194">
        <v>0</v>
      </c>
      <c r="K194">
        <v>0</v>
      </c>
    </row>
    <row r="195" spans="1:11" x14ac:dyDescent="0.2">
      <c r="A195" s="165">
        <v>45970.303553240738</v>
      </c>
      <c r="B195" s="134" t="s">
        <v>1124</v>
      </c>
      <c r="C195" s="134" t="s">
        <v>1125</v>
      </c>
      <c r="D195" s="165">
        <v>45985.136145833334</v>
      </c>
      <c r="E195" s="165">
        <v>46012.08011574074</v>
      </c>
      <c r="F195" s="134" t="s">
        <v>1126</v>
      </c>
      <c r="G195">
        <v>4069518510865</v>
      </c>
      <c r="H195" s="134" t="s">
        <v>1127</v>
      </c>
      <c r="I195" s="134" t="s">
        <v>404</v>
      </c>
      <c r="J195">
        <v>0</v>
      </c>
      <c r="K195">
        <v>0</v>
      </c>
    </row>
    <row r="196" spans="1:11" x14ac:dyDescent="0.2">
      <c r="A196" s="165">
        <v>45968.796458333331</v>
      </c>
      <c r="B196" s="134" t="s">
        <v>1128</v>
      </c>
      <c r="C196" s="134" t="s">
        <v>1129</v>
      </c>
      <c r="D196" s="165">
        <v>45975.198692129627</v>
      </c>
      <c r="E196" s="165">
        <v>46004.080069444448</v>
      </c>
      <c r="F196" s="134" t="s">
        <v>1130</v>
      </c>
      <c r="G196">
        <v>4069518470220</v>
      </c>
      <c r="H196" s="134" t="s">
        <v>1131</v>
      </c>
      <c r="I196" s="134" t="s">
        <v>357</v>
      </c>
      <c r="J196">
        <v>0</v>
      </c>
      <c r="K196">
        <v>0</v>
      </c>
    </row>
    <row r="197" spans="1:11" x14ac:dyDescent="0.2">
      <c r="A197" s="165">
        <v>45968.796458333331</v>
      </c>
      <c r="B197" s="134" t="s">
        <v>1128</v>
      </c>
      <c r="C197" s="134" t="s">
        <v>1129</v>
      </c>
      <c r="D197" s="165">
        <v>45975.198692129627</v>
      </c>
      <c r="E197" s="165">
        <v>46004.080069444448</v>
      </c>
      <c r="F197" s="134" t="s">
        <v>1130</v>
      </c>
      <c r="G197">
        <v>4069518470220</v>
      </c>
      <c r="H197" s="134" t="s">
        <v>1131</v>
      </c>
      <c r="I197" s="134" t="s">
        <v>357</v>
      </c>
      <c r="J197">
        <v>0</v>
      </c>
      <c r="K197">
        <v>0</v>
      </c>
    </row>
    <row r="198" spans="1:11" x14ac:dyDescent="0.2">
      <c r="A198" s="165">
        <v>45968.64502314815</v>
      </c>
      <c r="B198" s="134" t="s">
        <v>1132</v>
      </c>
      <c r="C198" s="134" t="s">
        <v>1133</v>
      </c>
      <c r="D198" s="165">
        <v>45975.19939814815</v>
      </c>
      <c r="E198" s="165">
        <v>46004.080208333333</v>
      </c>
      <c r="F198" s="134" t="s">
        <v>1088</v>
      </c>
      <c r="G198">
        <v>4069518461471</v>
      </c>
      <c r="H198" s="134" t="s">
        <v>1134</v>
      </c>
      <c r="I198" s="134" t="s">
        <v>335</v>
      </c>
      <c r="J198">
        <v>0</v>
      </c>
      <c r="K198">
        <v>0</v>
      </c>
    </row>
    <row r="199" spans="1:11" x14ac:dyDescent="0.2">
      <c r="A199" s="165">
        <v>45966.865219907406</v>
      </c>
      <c r="B199" s="134" t="s">
        <v>1135</v>
      </c>
      <c r="C199" s="134" t="s">
        <v>1136</v>
      </c>
      <c r="D199" s="165">
        <v>45976.461863425924</v>
      </c>
      <c r="E199" s="165">
        <v>46051.441087962965</v>
      </c>
      <c r="F199" s="134" t="s">
        <v>115</v>
      </c>
      <c r="G199">
        <v>4069518512890</v>
      </c>
      <c r="H199" s="134" t="s">
        <v>1137</v>
      </c>
      <c r="I199" s="134" t="s">
        <v>116</v>
      </c>
      <c r="J199">
        <v>0</v>
      </c>
      <c r="K199">
        <v>0</v>
      </c>
    </row>
    <row r="200" spans="1:11" x14ac:dyDescent="0.2">
      <c r="A200" s="165">
        <v>45966.553842592592</v>
      </c>
      <c r="B200" s="134" t="s">
        <v>1132</v>
      </c>
      <c r="C200" s="134" t="s">
        <v>1138</v>
      </c>
      <c r="D200" s="165">
        <v>45975.19939814815</v>
      </c>
      <c r="E200" s="165">
        <v>45985.635462962964</v>
      </c>
      <c r="F200" s="134" t="s">
        <v>1139</v>
      </c>
      <c r="G200">
        <v>4069518469255</v>
      </c>
      <c r="H200" s="134" t="s">
        <v>1140</v>
      </c>
      <c r="I200" s="134" t="s">
        <v>350</v>
      </c>
      <c r="J200">
        <v>0</v>
      </c>
      <c r="K200">
        <v>0</v>
      </c>
    </row>
    <row r="201" spans="1:11" x14ac:dyDescent="0.2">
      <c r="A201" s="165">
        <v>45964.508055555554</v>
      </c>
      <c r="B201" s="134" t="s">
        <v>1141</v>
      </c>
      <c r="C201" s="134" t="s">
        <v>1142</v>
      </c>
      <c r="D201" s="165">
        <v>45972.333472222221</v>
      </c>
      <c r="E201" s="165">
        <v>46003.080185185187</v>
      </c>
      <c r="F201" s="134" t="s">
        <v>1143</v>
      </c>
      <c r="G201">
        <v>4069518260135</v>
      </c>
      <c r="H201" s="134" t="s">
        <v>1144</v>
      </c>
      <c r="I201" s="134" t="s">
        <v>253</v>
      </c>
      <c r="J201">
        <v>1</v>
      </c>
      <c r="K201">
        <v>0</v>
      </c>
    </row>
    <row r="202" spans="1:11" x14ac:dyDescent="0.2">
      <c r="A202" s="165">
        <v>45963.718541666669</v>
      </c>
      <c r="B202" s="134" t="s">
        <v>1145</v>
      </c>
      <c r="C202" s="134" t="s">
        <v>1146</v>
      </c>
      <c r="D202" s="165">
        <v>45973.979305555556</v>
      </c>
      <c r="E202" s="165">
        <v>46003.080069444448</v>
      </c>
      <c r="F202" s="134" t="s">
        <v>1147</v>
      </c>
      <c r="G202">
        <v>4069518107690</v>
      </c>
      <c r="H202" s="134" t="s">
        <v>1148</v>
      </c>
      <c r="I202" s="134" t="s">
        <v>204</v>
      </c>
      <c r="J202">
        <v>0</v>
      </c>
      <c r="K202">
        <v>0</v>
      </c>
    </row>
    <row r="203" spans="1:11" x14ac:dyDescent="0.2">
      <c r="A203" s="165">
        <v>45963.698946759258</v>
      </c>
      <c r="B203" s="134" t="s">
        <v>1149</v>
      </c>
      <c r="C203" s="134" t="s">
        <v>1150</v>
      </c>
      <c r="D203" s="165">
        <v>45971.182708333334</v>
      </c>
      <c r="E203" s="165">
        <v>45999.080057870371</v>
      </c>
      <c r="F203" s="134" t="s">
        <v>1151</v>
      </c>
      <c r="G203">
        <v>4069518460511</v>
      </c>
      <c r="H203" s="134" t="s">
        <v>1152</v>
      </c>
      <c r="I203" s="134" t="s">
        <v>331</v>
      </c>
      <c r="J203">
        <v>0</v>
      </c>
      <c r="K203">
        <v>0</v>
      </c>
    </row>
    <row r="204" spans="1:11" x14ac:dyDescent="0.2">
      <c r="A204" s="165">
        <v>45963.698946759258</v>
      </c>
      <c r="B204" s="134" t="s">
        <v>1149</v>
      </c>
      <c r="C204" s="134" t="s">
        <v>1150</v>
      </c>
      <c r="D204" s="165">
        <v>45971.182708333334</v>
      </c>
      <c r="E204" s="165">
        <v>45999.080057870371</v>
      </c>
      <c r="F204" s="134" t="s">
        <v>1151</v>
      </c>
      <c r="G204">
        <v>4069518460511</v>
      </c>
      <c r="H204" s="134" t="s">
        <v>1152</v>
      </c>
      <c r="I204" s="134" t="s">
        <v>331</v>
      </c>
      <c r="J204">
        <v>0</v>
      </c>
      <c r="K204">
        <v>0</v>
      </c>
    </row>
    <row r="205" spans="1:11" x14ac:dyDescent="0.2">
      <c r="A205" s="165">
        <v>45963.675057870372</v>
      </c>
      <c r="B205" s="134" t="s">
        <v>431</v>
      </c>
      <c r="C205" s="134" t="s">
        <v>1153</v>
      </c>
      <c r="D205" s="165">
        <v>45974.999988425923</v>
      </c>
      <c r="E205" s="165">
        <v>45973.583425925928</v>
      </c>
      <c r="F205" s="134" t="s">
        <v>1154</v>
      </c>
      <c r="G205">
        <v>4069518545362</v>
      </c>
      <c r="H205" s="134" t="s">
        <v>1155</v>
      </c>
      <c r="I205" s="134" t="s">
        <v>411</v>
      </c>
      <c r="J205">
        <v>0</v>
      </c>
      <c r="K205">
        <v>0</v>
      </c>
    </row>
    <row r="206" spans="1:11" x14ac:dyDescent="0.2">
      <c r="A206" s="165">
        <v>45961.594039351854</v>
      </c>
      <c r="B206" s="134" t="s">
        <v>1156</v>
      </c>
      <c r="C206" s="134" t="s">
        <v>1157</v>
      </c>
      <c r="D206" s="165">
        <v>45975.548020833332</v>
      </c>
      <c r="E206" s="165">
        <v>46051.441087962965</v>
      </c>
      <c r="F206" s="134" t="s">
        <v>115</v>
      </c>
      <c r="G206">
        <v>4069518512890</v>
      </c>
      <c r="H206" s="134" t="s">
        <v>1158</v>
      </c>
      <c r="I206" s="134" t="s">
        <v>116</v>
      </c>
      <c r="J206">
        <v>0</v>
      </c>
      <c r="K206">
        <v>0</v>
      </c>
    </row>
    <row r="207" spans="1:11" x14ac:dyDescent="0.2">
      <c r="A207" s="165">
        <v>45959.565995370373</v>
      </c>
      <c r="B207" s="134" t="s">
        <v>1159</v>
      </c>
      <c r="C207" s="134" t="s">
        <v>1160</v>
      </c>
      <c r="D207" s="165">
        <v>45968.156967592593</v>
      </c>
      <c r="E207" s="165">
        <v>45997.08017361111</v>
      </c>
      <c r="F207" s="134" t="s">
        <v>1161</v>
      </c>
      <c r="G207">
        <v>4069518459355</v>
      </c>
      <c r="H207" s="134" t="s">
        <v>1162</v>
      </c>
      <c r="I207" s="134" t="s">
        <v>328</v>
      </c>
      <c r="J207">
        <v>0</v>
      </c>
      <c r="K207">
        <v>0</v>
      </c>
    </row>
    <row r="208" spans="1:11" x14ac:dyDescent="0.2">
      <c r="A208" s="165">
        <v>45959.450127314813</v>
      </c>
      <c r="B208" s="134" t="s">
        <v>1163</v>
      </c>
      <c r="C208" s="134" t="s">
        <v>1164</v>
      </c>
      <c r="D208" s="165">
        <v>45968.15289351852</v>
      </c>
      <c r="E208" s="165">
        <v>45997.08017361111</v>
      </c>
      <c r="F208" s="134" t="s">
        <v>1165</v>
      </c>
      <c r="G208">
        <v>4069518473108</v>
      </c>
      <c r="H208" s="134" t="s">
        <v>1166</v>
      </c>
      <c r="I208" s="134" t="s">
        <v>375</v>
      </c>
      <c r="J208">
        <v>0</v>
      </c>
      <c r="K208">
        <v>0</v>
      </c>
    </row>
    <row r="209" spans="1:11" x14ac:dyDescent="0.2">
      <c r="A209" s="165">
        <v>45957.776122685187</v>
      </c>
      <c r="B209" s="134" t="s">
        <v>1167</v>
      </c>
      <c r="C209" s="134" t="s">
        <v>1168</v>
      </c>
      <c r="D209" s="165">
        <v>45968.16196759259</v>
      </c>
      <c r="E209" s="165">
        <v>45998.080150462964</v>
      </c>
      <c r="F209" s="134" t="s">
        <v>1169</v>
      </c>
      <c r="G209">
        <v>4069518258583</v>
      </c>
      <c r="H209" s="134" t="s">
        <v>1170</v>
      </c>
      <c r="I209" s="134" t="s">
        <v>247</v>
      </c>
      <c r="J209">
        <v>0</v>
      </c>
      <c r="K209">
        <v>0</v>
      </c>
    </row>
    <row r="210" spans="1:11" x14ac:dyDescent="0.2">
      <c r="A210" s="165">
        <v>45957.308761574073</v>
      </c>
      <c r="B210" s="134" t="s">
        <v>1171</v>
      </c>
      <c r="C210" s="134" t="s">
        <v>1172</v>
      </c>
      <c r="D210" s="165">
        <v>45962.188240740739</v>
      </c>
      <c r="E210" s="165">
        <v>45991.080092592594</v>
      </c>
      <c r="F210" s="134" t="s">
        <v>105</v>
      </c>
      <c r="G210">
        <v>4069518471487</v>
      </c>
      <c r="H210" s="134" t="s">
        <v>1173</v>
      </c>
      <c r="I210" s="134" t="s">
        <v>106</v>
      </c>
      <c r="J210">
        <v>0</v>
      </c>
      <c r="K210">
        <v>0</v>
      </c>
    </row>
    <row r="211" spans="1:11" x14ac:dyDescent="0.2">
      <c r="A211" s="165">
        <v>45956.971851851849</v>
      </c>
      <c r="B211" s="134" t="s">
        <v>1174</v>
      </c>
      <c r="C211" s="134" t="s">
        <v>1175</v>
      </c>
      <c r="D211" s="165">
        <v>45962.187650462962</v>
      </c>
      <c r="E211" s="165">
        <v>45991.080092592594</v>
      </c>
      <c r="F211" s="134" t="s">
        <v>1176</v>
      </c>
      <c r="G211">
        <v>4069518461488</v>
      </c>
      <c r="H211" s="134" t="s">
        <v>1177</v>
      </c>
      <c r="I211" s="134" t="s">
        <v>1178</v>
      </c>
      <c r="J211">
        <v>0</v>
      </c>
      <c r="K211">
        <v>0</v>
      </c>
    </row>
    <row r="212" spans="1:11" x14ac:dyDescent="0.2">
      <c r="A212" s="165">
        <v>45955.986192129632</v>
      </c>
      <c r="B212" s="134" t="s">
        <v>1179</v>
      </c>
      <c r="C212" s="134" t="s">
        <v>1180</v>
      </c>
      <c r="D212" s="165">
        <v>45965.357662037037</v>
      </c>
      <c r="E212" s="165">
        <v>45997.080069444448</v>
      </c>
      <c r="F212" s="134" t="s">
        <v>1181</v>
      </c>
      <c r="G212">
        <v>4069518260302</v>
      </c>
      <c r="H212" s="134" t="s">
        <v>1182</v>
      </c>
      <c r="I212" s="134" t="s">
        <v>257</v>
      </c>
      <c r="J212">
        <v>1</v>
      </c>
      <c r="K212">
        <v>0</v>
      </c>
    </row>
    <row r="213" spans="1:11" x14ac:dyDescent="0.2">
      <c r="A213" s="165">
        <v>45955.686736111114</v>
      </c>
      <c r="B213" s="134" t="s">
        <v>1174</v>
      </c>
      <c r="C213" s="134" t="s">
        <v>1183</v>
      </c>
      <c r="D213" s="165">
        <v>45962.187650462962</v>
      </c>
      <c r="E213" s="165">
        <v>45991.080092592594</v>
      </c>
      <c r="F213" s="134" t="s">
        <v>1184</v>
      </c>
      <c r="G213">
        <v>4069518459300</v>
      </c>
      <c r="H213" s="134" t="s">
        <v>1185</v>
      </c>
      <c r="I213" s="134" t="s">
        <v>327</v>
      </c>
      <c r="J213">
        <v>0</v>
      </c>
      <c r="K213">
        <v>0</v>
      </c>
    </row>
    <row r="214" spans="1:11" x14ac:dyDescent="0.2">
      <c r="A214" s="165">
        <v>45955.571481481478</v>
      </c>
      <c r="B214" s="134" t="s">
        <v>1186</v>
      </c>
      <c r="C214" s="134" t="s">
        <v>1187</v>
      </c>
      <c r="D214" s="165">
        <v>45965.199374999997</v>
      </c>
      <c r="E214" s="165">
        <v>45996.080127314817</v>
      </c>
      <c r="F214" s="134" t="s">
        <v>1188</v>
      </c>
      <c r="G214">
        <v>4069518257142</v>
      </c>
      <c r="H214" s="134" t="s">
        <v>1189</v>
      </c>
      <c r="I214" s="134" t="s">
        <v>242</v>
      </c>
      <c r="J214">
        <v>1</v>
      </c>
      <c r="K214">
        <v>0</v>
      </c>
    </row>
    <row r="215" spans="1:11" x14ac:dyDescent="0.2">
      <c r="A215" s="165">
        <v>45955.074513888889</v>
      </c>
      <c r="B215" s="134" t="s">
        <v>1190</v>
      </c>
      <c r="C215" s="134" t="s">
        <v>1191</v>
      </c>
      <c r="D215" s="165">
        <v>45965.353495370371</v>
      </c>
      <c r="E215" s="165">
        <v>45995.080092592594</v>
      </c>
      <c r="F215" s="134" t="s">
        <v>431</v>
      </c>
      <c r="H215" s="134" t="s">
        <v>1192</v>
      </c>
      <c r="I215" s="134" t="s">
        <v>431</v>
      </c>
      <c r="J215">
        <v>0</v>
      </c>
      <c r="K215">
        <v>0</v>
      </c>
    </row>
    <row r="216" spans="1:11" x14ac:dyDescent="0.2">
      <c r="A216" s="165">
        <v>45954.725682870368</v>
      </c>
      <c r="B216" s="134" t="s">
        <v>1193</v>
      </c>
      <c r="C216" s="134" t="s">
        <v>1194</v>
      </c>
      <c r="D216" s="165">
        <v>45964.378495370373</v>
      </c>
      <c r="E216" s="165">
        <v>45987.472314814811</v>
      </c>
      <c r="F216" s="134" t="s">
        <v>1195</v>
      </c>
      <c r="G216">
        <v>4069518390337</v>
      </c>
      <c r="H216" s="134" t="s">
        <v>1196</v>
      </c>
      <c r="I216" s="134" t="s">
        <v>301</v>
      </c>
      <c r="J216">
        <v>1</v>
      </c>
      <c r="K216">
        <v>0</v>
      </c>
    </row>
    <row r="217" spans="1:11" x14ac:dyDescent="0.2">
      <c r="A217" s="165">
        <v>45953.607800925929</v>
      </c>
      <c r="B217" s="134" t="s">
        <v>1197</v>
      </c>
      <c r="C217" s="134" t="s">
        <v>1198</v>
      </c>
      <c r="D217" s="165">
        <v>45964.37158564815</v>
      </c>
      <c r="E217" s="165">
        <v>45991.080127314817</v>
      </c>
      <c r="F217" s="134" t="s">
        <v>1199</v>
      </c>
      <c r="G217">
        <v>4069518410431</v>
      </c>
      <c r="H217" s="134" t="s">
        <v>1200</v>
      </c>
      <c r="I217" s="134" t="s">
        <v>312</v>
      </c>
      <c r="J217">
        <v>1</v>
      </c>
      <c r="K217">
        <v>0</v>
      </c>
    </row>
    <row r="218" spans="1:11" x14ac:dyDescent="0.2">
      <c r="A218" s="165">
        <v>45952.622615740744</v>
      </c>
      <c r="B218" s="134" t="s">
        <v>1174</v>
      </c>
      <c r="C218" s="134" t="s">
        <v>1201</v>
      </c>
      <c r="D218" s="165">
        <v>45962.187650462962</v>
      </c>
      <c r="E218" s="165">
        <v>45991.080092592594</v>
      </c>
      <c r="F218" s="134" t="s">
        <v>1202</v>
      </c>
      <c r="G218">
        <v>4069518033142</v>
      </c>
      <c r="H218" s="134" t="s">
        <v>1203</v>
      </c>
      <c r="I218" s="134" t="s">
        <v>197</v>
      </c>
      <c r="J218">
        <v>0</v>
      </c>
      <c r="K218">
        <v>0</v>
      </c>
    </row>
    <row r="219" spans="1:11" x14ac:dyDescent="0.2">
      <c r="A219" s="165">
        <v>45951.867881944447</v>
      </c>
      <c r="B219" s="134" t="s">
        <v>1204</v>
      </c>
      <c r="C219" s="134" t="s">
        <v>1205</v>
      </c>
      <c r="D219" s="165">
        <v>45962.159953703704</v>
      </c>
      <c r="E219" s="165">
        <v>45991.080092592594</v>
      </c>
      <c r="F219" s="134" t="s">
        <v>706</v>
      </c>
      <c r="G219">
        <v>4069518302743</v>
      </c>
      <c r="H219" s="134" t="s">
        <v>1206</v>
      </c>
      <c r="I219" s="134" t="s">
        <v>262</v>
      </c>
      <c r="J219">
        <v>0</v>
      </c>
      <c r="K219">
        <v>0</v>
      </c>
    </row>
    <row r="220" spans="1:11" x14ac:dyDescent="0.2">
      <c r="A220" s="165">
        <v>45949.723275462966</v>
      </c>
      <c r="B220" s="134" t="s">
        <v>1207</v>
      </c>
      <c r="C220" s="134" t="s">
        <v>1208</v>
      </c>
      <c r="D220" s="165">
        <v>45959.10428240741</v>
      </c>
      <c r="E220" s="165">
        <v>45993.080011574071</v>
      </c>
      <c r="F220" s="134" t="s">
        <v>1209</v>
      </c>
      <c r="G220">
        <v>4069518310564</v>
      </c>
      <c r="H220" s="134" t="s">
        <v>1210</v>
      </c>
      <c r="I220" s="134" t="s">
        <v>274</v>
      </c>
      <c r="J220">
        <v>1</v>
      </c>
      <c r="K220">
        <v>0</v>
      </c>
    </row>
    <row r="221" spans="1:11" x14ac:dyDescent="0.2">
      <c r="A221" s="165">
        <v>45949.008750000001</v>
      </c>
      <c r="B221" s="134" t="s">
        <v>1211</v>
      </c>
      <c r="C221" s="134" t="s">
        <v>1212</v>
      </c>
      <c r="D221" s="165">
        <v>45955.204247685186</v>
      </c>
      <c r="E221" s="165">
        <v>45984.080057870371</v>
      </c>
      <c r="F221" s="134" t="s">
        <v>1213</v>
      </c>
      <c r="G221">
        <v>4069518471470</v>
      </c>
      <c r="H221" s="134" t="s">
        <v>1214</v>
      </c>
      <c r="I221" s="134" t="s">
        <v>366</v>
      </c>
      <c r="J221">
        <v>0</v>
      </c>
      <c r="K221">
        <v>0</v>
      </c>
    </row>
    <row r="222" spans="1:11" x14ac:dyDescent="0.2">
      <c r="A222" s="165">
        <v>45948.562604166669</v>
      </c>
      <c r="B222" s="134" t="s">
        <v>1215</v>
      </c>
      <c r="C222" s="134" t="s">
        <v>1216</v>
      </c>
      <c r="D222" s="165">
        <v>45954.189027777778</v>
      </c>
      <c r="E222" s="165">
        <v>45983.080127314817</v>
      </c>
      <c r="F222" s="134" t="s">
        <v>93</v>
      </c>
      <c r="G222">
        <v>4069518471838</v>
      </c>
      <c r="H222" s="134" t="s">
        <v>1217</v>
      </c>
      <c r="I222" s="134" t="s">
        <v>94</v>
      </c>
      <c r="J222">
        <v>0</v>
      </c>
      <c r="K222">
        <v>0</v>
      </c>
    </row>
    <row r="223" spans="1:11" x14ac:dyDescent="0.2">
      <c r="A223" s="165">
        <v>45947.447789351849</v>
      </c>
      <c r="B223" s="134" t="s">
        <v>1218</v>
      </c>
      <c r="C223" s="134" t="s">
        <v>1219</v>
      </c>
      <c r="D223" s="165">
        <v>45957.156319444446</v>
      </c>
      <c r="E223" s="165">
        <v>45996.080127314817</v>
      </c>
      <c r="F223" s="134" t="s">
        <v>1220</v>
      </c>
      <c r="G223">
        <v>741575665521</v>
      </c>
      <c r="H223" s="134" t="s">
        <v>1221</v>
      </c>
      <c r="I223" s="134" t="s">
        <v>137</v>
      </c>
      <c r="J223">
        <v>1</v>
      </c>
      <c r="K223">
        <v>0</v>
      </c>
    </row>
    <row r="224" spans="1:11" x14ac:dyDescent="0.2">
      <c r="A224" s="165">
        <v>45946.749155092592</v>
      </c>
      <c r="B224" s="134" t="s">
        <v>1222</v>
      </c>
      <c r="C224" s="134" t="s">
        <v>1223</v>
      </c>
      <c r="D224" s="165">
        <v>45958.145173611112</v>
      </c>
      <c r="E224" s="165">
        <v>46015.423645833333</v>
      </c>
      <c r="F224" s="134" t="s">
        <v>706</v>
      </c>
      <c r="G224">
        <v>4069518302743</v>
      </c>
      <c r="H224" s="134" t="s">
        <v>1224</v>
      </c>
      <c r="I224" s="134" t="s">
        <v>262</v>
      </c>
      <c r="J224">
        <v>0</v>
      </c>
      <c r="K224">
        <v>0</v>
      </c>
    </row>
    <row r="225" spans="1:11" x14ac:dyDescent="0.2">
      <c r="A225" s="165">
        <v>45946.735092592593</v>
      </c>
      <c r="B225" s="134" t="s">
        <v>1225</v>
      </c>
      <c r="C225" s="134" t="s">
        <v>1226</v>
      </c>
      <c r="D225" s="165">
        <v>45955.2028587963</v>
      </c>
      <c r="E225" s="165">
        <v>45984.080104166664</v>
      </c>
      <c r="F225" s="134" t="s">
        <v>1227</v>
      </c>
      <c r="G225">
        <v>4069518388150</v>
      </c>
      <c r="H225" s="134" t="s">
        <v>1228</v>
      </c>
      <c r="I225" s="134" t="s">
        <v>298</v>
      </c>
      <c r="J225">
        <v>0</v>
      </c>
      <c r="K225">
        <v>0</v>
      </c>
    </row>
    <row r="226" spans="1:11" x14ac:dyDescent="0.2">
      <c r="A226" s="165">
        <v>45946.534432870372</v>
      </c>
      <c r="B226" s="134" t="s">
        <v>1229</v>
      </c>
      <c r="C226" s="134" t="s">
        <v>1230</v>
      </c>
      <c r="D226" s="165">
        <v>45957.156307870369</v>
      </c>
      <c r="E226" s="165">
        <v>45985.364652777775</v>
      </c>
      <c r="F226" s="134" t="s">
        <v>1231</v>
      </c>
      <c r="G226">
        <v>4069518057087</v>
      </c>
      <c r="H226" s="134" t="s">
        <v>1232</v>
      </c>
      <c r="I226" s="134" t="s">
        <v>174</v>
      </c>
      <c r="J226">
        <v>0</v>
      </c>
      <c r="K226">
        <v>0</v>
      </c>
    </row>
    <row r="227" spans="1:11" x14ac:dyDescent="0.2">
      <c r="A227" s="165">
        <v>45945.853125000001</v>
      </c>
      <c r="B227" s="134" t="s">
        <v>1233</v>
      </c>
      <c r="C227" s="134" t="s">
        <v>1234</v>
      </c>
      <c r="D227" s="165">
        <v>45954.143831018519</v>
      </c>
      <c r="E227" s="165">
        <v>45983.080034722225</v>
      </c>
      <c r="F227" s="134" t="s">
        <v>1235</v>
      </c>
      <c r="G227">
        <v>4069518459881</v>
      </c>
      <c r="H227" s="134" t="s">
        <v>1236</v>
      </c>
      <c r="I227" s="134" t="s">
        <v>329</v>
      </c>
      <c r="J227">
        <v>0</v>
      </c>
      <c r="K227">
        <v>0</v>
      </c>
    </row>
    <row r="228" spans="1:11" x14ac:dyDescent="0.2">
      <c r="A228" s="165">
        <v>45944.846863425926</v>
      </c>
      <c r="B228" s="134" t="s">
        <v>1237</v>
      </c>
      <c r="C228" s="134" t="s">
        <v>1238</v>
      </c>
      <c r="D228" s="165">
        <v>45955.245173611111</v>
      </c>
      <c r="E228" s="165">
        <v>45985.080127314817</v>
      </c>
      <c r="F228" s="134" t="s">
        <v>903</v>
      </c>
      <c r="G228">
        <v>4069518254325</v>
      </c>
      <c r="H228" s="134" t="s">
        <v>1239</v>
      </c>
      <c r="I228" s="134" t="s">
        <v>233</v>
      </c>
      <c r="J228">
        <v>1</v>
      </c>
      <c r="K228">
        <v>0</v>
      </c>
    </row>
    <row r="229" spans="1:11" x14ac:dyDescent="0.2">
      <c r="A229" s="165">
        <v>45943.892546296294</v>
      </c>
      <c r="B229" s="134" t="s">
        <v>1240</v>
      </c>
      <c r="C229" s="134" t="s">
        <v>1241</v>
      </c>
      <c r="D229" s="165">
        <v>45959.75141203704</v>
      </c>
      <c r="E229" s="165">
        <v>45988.080127314817</v>
      </c>
      <c r="F229" s="134" t="s">
        <v>1242</v>
      </c>
      <c r="G229">
        <v>4069518514795</v>
      </c>
      <c r="H229" s="134" t="s">
        <v>1243</v>
      </c>
      <c r="I229" s="134" t="s">
        <v>406</v>
      </c>
      <c r="J229">
        <v>0</v>
      </c>
      <c r="K229">
        <v>0</v>
      </c>
    </row>
    <row r="230" spans="1:11" x14ac:dyDescent="0.2">
      <c r="A230" s="165">
        <v>45943.512627314813</v>
      </c>
      <c r="B230" s="134" t="s">
        <v>431</v>
      </c>
      <c r="C230" s="134" t="s">
        <v>1244</v>
      </c>
      <c r="D230" s="165">
        <v>45952.999988425923</v>
      </c>
      <c r="E230" s="165">
        <v>45973.583425925928</v>
      </c>
      <c r="F230" s="134" t="s">
        <v>1199</v>
      </c>
      <c r="G230">
        <v>4069518410431</v>
      </c>
      <c r="H230" s="134" t="s">
        <v>1245</v>
      </c>
      <c r="I230" s="134" t="s">
        <v>312</v>
      </c>
      <c r="J230">
        <v>0</v>
      </c>
      <c r="K230">
        <v>0</v>
      </c>
    </row>
    <row r="231" spans="1:11" x14ac:dyDescent="0.2">
      <c r="A231" s="165">
        <v>45942.79587962963</v>
      </c>
      <c r="B231" s="134" t="s">
        <v>1246</v>
      </c>
      <c r="C231" s="134" t="s">
        <v>1247</v>
      </c>
      <c r="D231" s="165">
        <v>45954.156273148146</v>
      </c>
      <c r="E231" s="165">
        <v>45984.080057870371</v>
      </c>
      <c r="F231" s="134" t="s">
        <v>1248</v>
      </c>
      <c r="G231">
        <v>4069518242254</v>
      </c>
      <c r="H231" s="134" t="s">
        <v>1249</v>
      </c>
      <c r="I231" s="134" t="s">
        <v>223</v>
      </c>
      <c r="J231">
        <v>1</v>
      </c>
      <c r="K231">
        <v>0</v>
      </c>
    </row>
    <row r="232" spans="1:11" x14ac:dyDescent="0.2">
      <c r="A232" s="165">
        <v>45942.793252314812</v>
      </c>
      <c r="B232" s="134" t="s">
        <v>431</v>
      </c>
      <c r="C232" s="134" t="s">
        <v>1250</v>
      </c>
      <c r="D232" s="165">
        <v>45953.999988425923</v>
      </c>
      <c r="E232" s="165">
        <v>45973.583425925928</v>
      </c>
      <c r="F232" s="134" t="s">
        <v>1248</v>
      </c>
      <c r="G232">
        <v>4069518242254</v>
      </c>
      <c r="H232" s="134" t="s">
        <v>1251</v>
      </c>
      <c r="I232" s="134" t="s">
        <v>223</v>
      </c>
      <c r="J232">
        <v>1</v>
      </c>
      <c r="K232">
        <v>0</v>
      </c>
    </row>
    <row r="233" spans="1:11" x14ac:dyDescent="0.2">
      <c r="A233" s="165">
        <v>45942.664953703701</v>
      </c>
      <c r="B233" s="134" t="s">
        <v>1252</v>
      </c>
      <c r="C233" s="134" t="s">
        <v>1253</v>
      </c>
      <c r="D233" s="165">
        <v>45953.241770833331</v>
      </c>
      <c r="E233" s="165">
        <v>45987.614722222221</v>
      </c>
      <c r="F233" s="134" t="s">
        <v>996</v>
      </c>
      <c r="G233">
        <v>4069518257722</v>
      </c>
      <c r="H233" s="134" t="s">
        <v>1254</v>
      </c>
      <c r="I233" s="134" t="s">
        <v>246</v>
      </c>
      <c r="J233">
        <v>1</v>
      </c>
      <c r="K233">
        <v>0</v>
      </c>
    </row>
    <row r="234" spans="1:11" x14ac:dyDescent="0.2">
      <c r="A234" s="165">
        <v>45941.684050925927</v>
      </c>
      <c r="B234" s="134" t="s">
        <v>1255</v>
      </c>
      <c r="C234" s="134" t="s">
        <v>1256</v>
      </c>
      <c r="D234" s="165">
        <v>45947.288252314815</v>
      </c>
      <c r="E234" s="165">
        <v>45975.083414351851</v>
      </c>
      <c r="F234" s="134" t="s">
        <v>91</v>
      </c>
      <c r="G234">
        <v>4069518309520</v>
      </c>
      <c r="H234" s="134" t="s">
        <v>1257</v>
      </c>
      <c r="I234" s="134" t="s">
        <v>92</v>
      </c>
      <c r="J234">
        <v>0</v>
      </c>
      <c r="K234">
        <v>0</v>
      </c>
    </row>
    <row r="235" spans="1:11" x14ac:dyDescent="0.2">
      <c r="A235" s="165">
        <v>45941.619375000002</v>
      </c>
      <c r="B235" s="134" t="s">
        <v>1258</v>
      </c>
      <c r="C235" s="134" t="s">
        <v>1259</v>
      </c>
      <c r="D235" s="165">
        <v>45952.194618055553</v>
      </c>
      <c r="E235" s="165">
        <v>45982.080081018517</v>
      </c>
      <c r="F235" s="134" t="s">
        <v>1260</v>
      </c>
      <c r="G235">
        <v>4069518507551</v>
      </c>
      <c r="H235" s="134" t="s">
        <v>1261</v>
      </c>
      <c r="I235" s="134" t="s">
        <v>1262</v>
      </c>
      <c r="J235">
        <v>0</v>
      </c>
      <c r="K235">
        <v>0</v>
      </c>
    </row>
    <row r="236" spans="1:11" x14ac:dyDescent="0.2">
      <c r="A236" s="165">
        <v>45941.583356481482</v>
      </c>
      <c r="B236" s="134" t="s">
        <v>1263</v>
      </c>
      <c r="C236" s="134" t="s">
        <v>1264</v>
      </c>
      <c r="D236" s="165">
        <v>45951.069560185184</v>
      </c>
      <c r="E236" s="165">
        <v>45982.080081018517</v>
      </c>
      <c r="F236" s="134" t="s">
        <v>1265</v>
      </c>
      <c r="G236">
        <v>4069518156384</v>
      </c>
      <c r="H236" s="134" t="s">
        <v>1266</v>
      </c>
      <c r="I236" s="134" t="s">
        <v>217</v>
      </c>
      <c r="J236">
        <v>1</v>
      </c>
      <c r="K236">
        <v>0</v>
      </c>
    </row>
    <row r="237" spans="1:11" x14ac:dyDescent="0.2">
      <c r="A237" s="165">
        <v>45940.920266203706</v>
      </c>
      <c r="B237" s="134" t="s">
        <v>1267</v>
      </c>
      <c r="C237" s="134" t="s">
        <v>1268</v>
      </c>
      <c r="D237" s="165">
        <v>45950.129907407405</v>
      </c>
      <c r="E237" s="165">
        <v>45982.080069444448</v>
      </c>
      <c r="F237" s="134" t="s">
        <v>1269</v>
      </c>
      <c r="G237">
        <v>4069518470411</v>
      </c>
      <c r="H237" s="134" t="s">
        <v>1270</v>
      </c>
      <c r="I237" s="134" t="s">
        <v>359</v>
      </c>
      <c r="J237">
        <v>0</v>
      </c>
      <c r="K237">
        <v>0</v>
      </c>
    </row>
    <row r="238" spans="1:11" x14ac:dyDescent="0.2">
      <c r="A238" s="165">
        <v>45940.515474537038</v>
      </c>
      <c r="B238" s="134" t="s">
        <v>1271</v>
      </c>
      <c r="C238" s="134" t="s">
        <v>1272</v>
      </c>
      <c r="D238" s="165">
        <v>45948.166006944448</v>
      </c>
      <c r="E238" s="165">
        <v>45977.080104166664</v>
      </c>
      <c r="F238" s="134" t="s">
        <v>1273</v>
      </c>
      <c r="G238">
        <v>4069518096208</v>
      </c>
      <c r="H238" s="134" t="s">
        <v>1274</v>
      </c>
      <c r="I238" s="134" t="s">
        <v>199</v>
      </c>
      <c r="J238">
        <v>0</v>
      </c>
      <c r="K238">
        <v>0</v>
      </c>
    </row>
    <row r="239" spans="1:11" x14ac:dyDescent="0.2">
      <c r="A239" s="165">
        <v>45940.451793981483</v>
      </c>
      <c r="B239" s="134" t="s">
        <v>1275</v>
      </c>
      <c r="C239" s="134" t="s">
        <v>1276</v>
      </c>
      <c r="D239" s="165">
        <v>45951.982673611114</v>
      </c>
      <c r="E239" s="165">
        <v>45982.08016203704</v>
      </c>
      <c r="F239" s="134" t="s">
        <v>1277</v>
      </c>
      <c r="G239">
        <v>4069518254554</v>
      </c>
      <c r="H239" s="134" t="s">
        <v>1278</v>
      </c>
      <c r="I239" s="134" t="s">
        <v>234</v>
      </c>
      <c r="J239">
        <v>1</v>
      </c>
      <c r="K239">
        <v>0</v>
      </c>
    </row>
    <row r="240" spans="1:11" x14ac:dyDescent="0.2">
      <c r="A240" s="165">
        <v>45940.369074074071</v>
      </c>
      <c r="B240" s="134" t="s">
        <v>1279</v>
      </c>
      <c r="C240" s="134" t="s">
        <v>1280</v>
      </c>
      <c r="D240" s="165">
        <v>45950.116736111115</v>
      </c>
      <c r="E240" s="165">
        <v>45978.080196759256</v>
      </c>
      <c r="F240" s="134" t="s">
        <v>1281</v>
      </c>
      <c r="G240">
        <v>4069518325919</v>
      </c>
      <c r="H240" s="134" t="s">
        <v>1282</v>
      </c>
      <c r="I240" s="134" t="s">
        <v>275</v>
      </c>
      <c r="J240">
        <v>0</v>
      </c>
      <c r="K240">
        <v>0</v>
      </c>
    </row>
    <row r="241" spans="1:11" x14ac:dyDescent="0.2">
      <c r="A241" s="165">
        <v>45940.032476851855</v>
      </c>
      <c r="B241" s="134" t="s">
        <v>1237</v>
      </c>
      <c r="C241" s="134" t="s">
        <v>1283</v>
      </c>
      <c r="D241" s="165">
        <v>45955.245173611111</v>
      </c>
      <c r="E241" s="165">
        <v>45985.080057870371</v>
      </c>
      <c r="F241" s="134" t="s">
        <v>798</v>
      </c>
      <c r="G241">
        <v>4069518156339</v>
      </c>
      <c r="H241" s="134" t="s">
        <v>1284</v>
      </c>
      <c r="I241" s="134" t="s">
        <v>216</v>
      </c>
      <c r="J241">
        <v>1</v>
      </c>
      <c r="K241">
        <v>0</v>
      </c>
    </row>
    <row r="242" spans="1:11" x14ac:dyDescent="0.2">
      <c r="A242" s="165">
        <v>45939.907766203702</v>
      </c>
      <c r="B242" s="134" t="s">
        <v>1285</v>
      </c>
      <c r="C242" s="134" t="s">
        <v>1286</v>
      </c>
      <c r="D242" s="165">
        <v>45947.288287037038</v>
      </c>
      <c r="E242" s="165">
        <v>45975.083414351851</v>
      </c>
      <c r="F242" s="134" t="s">
        <v>91</v>
      </c>
      <c r="G242">
        <v>4069518309520</v>
      </c>
      <c r="H242" s="134" t="s">
        <v>1287</v>
      </c>
      <c r="I242" s="134" t="s">
        <v>92</v>
      </c>
      <c r="J242">
        <v>0</v>
      </c>
      <c r="K242">
        <v>0</v>
      </c>
    </row>
    <row r="243" spans="1:11" x14ac:dyDescent="0.2">
      <c r="A243" s="165">
        <v>45938.710914351854</v>
      </c>
      <c r="B243" s="134" t="s">
        <v>1288</v>
      </c>
      <c r="C243" s="134" t="s">
        <v>1289</v>
      </c>
      <c r="D243" s="165">
        <v>45948.160474537035</v>
      </c>
      <c r="E243" s="165">
        <v>45978.080092592594</v>
      </c>
      <c r="F243" s="134" t="s">
        <v>517</v>
      </c>
      <c r="G243">
        <v>4069518328989</v>
      </c>
      <c r="H243" s="134" t="s">
        <v>1290</v>
      </c>
      <c r="I243" s="134" t="s">
        <v>277</v>
      </c>
      <c r="J243">
        <v>0</v>
      </c>
      <c r="K243">
        <v>0</v>
      </c>
    </row>
    <row r="244" spans="1:11" x14ac:dyDescent="0.2">
      <c r="A244" s="165">
        <v>45938.685798611114</v>
      </c>
      <c r="B244" s="134" t="s">
        <v>1225</v>
      </c>
      <c r="C244" s="134" t="s">
        <v>1291</v>
      </c>
      <c r="D244" s="165">
        <v>45955.2028587963</v>
      </c>
      <c r="E244" s="165">
        <v>46040.000011574077</v>
      </c>
      <c r="F244" s="134" t="s">
        <v>115</v>
      </c>
      <c r="G244">
        <v>4069518512890</v>
      </c>
      <c r="H244" s="134" t="s">
        <v>1292</v>
      </c>
      <c r="I244" s="134" t="s">
        <v>116</v>
      </c>
      <c r="J244">
        <v>0</v>
      </c>
      <c r="K244">
        <v>0</v>
      </c>
    </row>
    <row r="245" spans="1:11" x14ac:dyDescent="0.2">
      <c r="A245" s="165">
        <v>45937.738310185188</v>
      </c>
      <c r="B245" s="134" t="s">
        <v>1293</v>
      </c>
      <c r="C245" s="134" t="s">
        <v>1294</v>
      </c>
      <c r="D245" s="165">
        <v>45947.288275462961</v>
      </c>
      <c r="E245" s="165">
        <v>45975.083414351851</v>
      </c>
      <c r="F245" s="134" t="s">
        <v>1295</v>
      </c>
      <c r="G245">
        <v>4069518410509</v>
      </c>
      <c r="H245" s="134" t="s">
        <v>1296</v>
      </c>
      <c r="I245" s="134" t="s">
        <v>313</v>
      </c>
      <c r="J245">
        <v>0</v>
      </c>
      <c r="K245">
        <v>0</v>
      </c>
    </row>
    <row r="246" spans="1:11" x14ac:dyDescent="0.2">
      <c r="A246" s="165">
        <v>45937.657094907408</v>
      </c>
      <c r="B246" s="134" t="s">
        <v>1297</v>
      </c>
      <c r="C246" s="134" t="s">
        <v>1298</v>
      </c>
      <c r="D246" s="165">
        <v>45947.293090277781</v>
      </c>
      <c r="E246" s="165">
        <v>45975.083414351851</v>
      </c>
      <c r="F246" s="134" t="s">
        <v>1299</v>
      </c>
      <c r="G246">
        <v>4069518509272</v>
      </c>
      <c r="H246" s="134" t="s">
        <v>1300</v>
      </c>
      <c r="I246" s="134" t="s">
        <v>399</v>
      </c>
      <c r="J246">
        <v>0</v>
      </c>
      <c r="K246">
        <v>0</v>
      </c>
    </row>
    <row r="247" spans="1:11" x14ac:dyDescent="0.2">
      <c r="A247" s="165">
        <v>45937.657094907408</v>
      </c>
      <c r="B247" s="134" t="s">
        <v>1297</v>
      </c>
      <c r="C247" s="134" t="s">
        <v>1298</v>
      </c>
      <c r="D247" s="165">
        <v>45947.293090277781</v>
      </c>
      <c r="E247" s="165">
        <v>45975.083414351851</v>
      </c>
      <c r="F247" s="134" t="s">
        <v>1299</v>
      </c>
      <c r="G247">
        <v>4069518509272</v>
      </c>
      <c r="H247" s="134" t="s">
        <v>1300</v>
      </c>
      <c r="I247" s="134" t="s">
        <v>399</v>
      </c>
      <c r="J247">
        <v>0</v>
      </c>
      <c r="K247">
        <v>0</v>
      </c>
    </row>
    <row r="248" spans="1:11" x14ac:dyDescent="0.2">
      <c r="A248" s="165">
        <v>45936.468715277777</v>
      </c>
      <c r="B248" s="134" t="s">
        <v>1301</v>
      </c>
      <c r="C248" s="134" t="s">
        <v>1302</v>
      </c>
      <c r="D248" s="165">
        <v>45945.944594907407</v>
      </c>
      <c r="E248" s="165">
        <v>46005.080034722225</v>
      </c>
      <c r="F248" s="134" t="s">
        <v>1303</v>
      </c>
      <c r="G248">
        <v>4069518302767</v>
      </c>
      <c r="H248" s="134" t="s">
        <v>1304</v>
      </c>
      <c r="I248" s="134" t="s">
        <v>263</v>
      </c>
      <c r="J248">
        <v>0</v>
      </c>
      <c r="K248">
        <v>0</v>
      </c>
    </row>
    <row r="249" spans="1:11" x14ac:dyDescent="0.2">
      <c r="A249" s="165">
        <v>45936.420034722221</v>
      </c>
      <c r="B249" s="134" t="s">
        <v>1305</v>
      </c>
      <c r="C249" s="134" t="s">
        <v>1306</v>
      </c>
      <c r="D249" s="165">
        <v>45947.288298611114</v>
      </c>
      <c r="E249" s="165">
        <v>45975.083414351851</v>
      </c>
      <c r="F249" s="134" t="s">
        <v>91</v>
      </c>
      <c r="G249">
        <v>4069518309520</v>
      </c>
      <c r="H249" s="134" t="s">
        <v>1307</v>
      </c>
      <c r="I249" s="134" t="s">
        <v>92</v>
      </c>
      <c r="J249">
        <v>0</v>
      </c>
      <c r="K249">
        <v>0</v>
      </c>
    </row>
    <row r="250" spans="1:11" x14ac:dyDescent="0.2">
      <c r="A250" s="165">
        <v>45936.286053240743</v>
      </c>
      <c r="B250" s="134" t="s">
        <v>1308</v>
      </c>
      <c r="C250" s="134" t="s">
        <v>1309</v>
      </c>
      <c r="D250" s="165">
        <v>45947.293078703704</v>
      </c>
      <c r="E250" s="165">
        <v>45975.083414351851</v>
      </c>
      <c r="F250" s="134" t="s">
        <v>1310</v>
      </c>
      <c r="G250">
        <v>4069518476840</v>
      </c>
      <c r="H250" s="134" t="s">
        <v>1311</v>
      </c>
      <c r="I250" s="134" t="s">
        <v>383</v>
      </c>
      <c r="J250">
        <v>0</v>
      </c>
      <c r="K250">
        <v>0</v>
      </c>
    </row>
    <row r="251" spans="1:11" x14ac:dyDescent="0.2">
      <c r="A251" s="165">
        <v>45936.020555555559</v>
      </c>
      <c r="B251" s="134" t="s">
        <v>1312</v>
      </c>
      <c r="C251" s="134" t="s">
        <v>1313</v>
      </c>
      <c r="D251" s="165">
        <v>45946.139050925929</v>
      </c>
      <c r="E251" s="165">
        <v>45975.080300925925</v>
      </c>
      <c r="F251" s="134" t="s">
        <v>1314</v>
      </c>
      <c r="G251">
        <v>741575681354</v>
      </c>
      <c r="H251" s="134" t="s">
        <v>1315</v>
      </c>
      <c r="I251" s="134" t="s">
        <v>149</v>
      </c>
      <c r="J251">
        <v>0</v>
      </c>
      <c r="K251">
        <v>0</v>
      </c>
    </row>
    <row r="252" spans="1:11" x14ac:dyDescent="0.2">
      <c r="A252" s="165">
        <v>45935.876921296294</v>
      </c>
      <c r="B252" s="134" t="s">
        <v>1316</v>
      </c>
      <c r="C252" s="134" t="s">
        <v>1317</v>
      </c>
      <c r="D252" s="165">
        <v>45948.21398148148</v>
      </c>
      <c r="E252" s="165">
        <v>45988.080127314817</v>
      </c>
      <c r="F252" s="134" t="s">
        <v>982</v>
      </c>
      <c r="G252">
        <v>4069518057025</v>
      </c>
      <c r="H252" s="134" t="s">
        <v>1318</v>
      </c>
      <c r="I252" s="134" t="s">
        <v>169</v>
      </c>
      <c r="J252">
        <v>0</v>
      </c>
      <c r="K252">
        <v>0</v>
      </c>
    </row>
    <row r="253" spans="1:11" x14ac:dyDescent="0.2">
      <c r="A253" s="165">
        <v>45935.740520833337</v>
      </c>
      <c r="B253" s="134" t="s">
        <v>1319</v>
      </c>
      <c r="C253" s="134" t="s">
        <v>1320</v>
      </c>
      <c r="D253" s="165">
        <v>45943.159872685188</v>
      </c>
      <c r="E253" s="165">
        <v>45971.080046296294</v>
      </c>
      <c r="F253" s="134" t="s">
        <v>1003</v>
      </c>
      <c r="G253">
        <v>4069518257685</v>
      </c>
      <c r="H253" s="134" t="s">
        <v>1321</v>
      </c>
      <c r="I253" s="134" t="s">
        <v>244</v>
      </c>
      <c r="J253">
        <v>0</v>
      </c>
      <c r="K253">
        <v>0</v>
      </c>
    </row>
    <row r="254" spans="1:11" x14ac:dyDescent="0.2">
      <c r="A254" s="165">
        <v>45935.646111111113</v>
      </c>
      <c r="B254" s="134" t="s">
        <v>1322</v>
      </c>
      <c r="C254" s="134" t="s">
        <v>1323</v>
      </c>
      <c r="D254" s="165">
        <v>45944.072268518517</v>
      </c>
      <c r="E254" s="165">
        <v>45975.080300925925</v>
      </c>
      <c r="F254" s="134" t="s">
        <v>1324</v>
      </c>
      <c r="G254">
        <v>4069518261262</v>
      </c>
      <c r="H254" s="134" t="s">
        <v>1325</v>
      </c>
      <c r="I254" s="134" t="s">
        <v>259</v>
      </c>
      <c r="J254">
        <v>1</v>
      </c>
      <c r="K254">
        <v>0</v>
      </c>
    </row>
    <row r="255" spans="1:11" x14ac:dyDescent="0.2">
      <c r="A255" s="165">
        <v>45935.578912037039</v>
      </c>
      <c r="B255" s="134" t="s">
        <v>1326</v>
      </c>
      <c r="C255" s="134" t="s">
        <v>1327</v>
      </c>
      <c r="D255" s="165">
        <v>45941.97929398148</v>
      </c>
      <c r="E255" s="165">
        <v>45972.080081018517</v>
      </c>
      <c r="F255" s="134" t="s">
        <v>1328</v>
      </c>
      <c r="G255">
        <v>4069518509401</v>
      </c>
      <c r="H255" s="134" t="s">
        <v>1329</v>
      </c>
      <c r="I255" s="134" t="s">
        <v>400</v>
      </c>
      <c r="J255">
        <v>0</v>
      </c>
      <c r="K255">
        <v>0</v>
      </c>
    </row>
    <row r="256" spans="1:11" x14ac:dyDescent="0.2">
      <c r="A256" s="165">
        <v>45935.470034722224</v>
      </c>
      <c r="B256" s="134" t="s">
        <v>1330</v>
      </c>
      <c r="C256" s="134" t="s">
        <v>1331</v>
      </c>
      <c r="D256" s="165">
        <v>45943.222986111112</v>
      </c>
      <c r="E256" s="165">
        <v>45971.080046296294</v>
      </c>
      <c r="F256" s="134" t="s">
        <v>1303</v>
      </c>
      <c r="G256">
        <v>4069518302767</v>
      </c>
      <c r="H256" s="134" t="s">
        <v>1332</v>
      </c>
      <c r="I256" s="134" t="s">
        <v>263</v>
      </c>
      <c r="J256">
        <v>0</v>
      </c>
      <c r="K256">
        <v>0</v>
      </c>
    </row>
    <row r="257" spans="1:11" x14ac:dyDescent="0.2">
      <c r="A257" s="165">
        <v>45935.470034722224</v>
      </c>
      <c r="B257" s="134" t="s">
        <v>1330</v>
      </c>
      <c r="C257" s="134" t="s">
        <v>1331</v>
      </c>
      <c r="D257" s="165">
        <v>45943.222986111112</v>
      </c>
      <c r="E257" s="165">
        <v>45971.080046296294</v>
      </c>
      <c r="F257" s="134" t="s">
        <v>1303</v>
      </c>
      <c r="G257">
        <v>4069518302767</v>
      </c>
      <c r="H257" s="134" t="s">
        <v>1332</v>
      </c>
      <c r="I257" s="134" t="s">
        <v>263</v>
      </c>
      <c r="J257">
        <v>0</v>
      </c>
      <c r="K257">
        <v>0</v>
      </c>
    </row>
    <row r="258" spans="1:11" x14ac:dyDescent="0.2">
      <c r="A258" s="165">
        <v>45934.821481481478</v>
      </c>
      <c r="B258" s="134" t="s">
        <v>431</v>
      </c>
      <c r="C258" s="134" t="s">
        <v>1333</v>
      </c>
      <c r="D258" s="165">
        <v>45945.999988425923</v>
      </c>
      <c r="E258" s="165">
        <v>45937.479305555556</v>
      </c>
      <c r="F258" s="134" t="s">
        <v>1334</v>
      </c>
      <c r="G258">
        <v>4069518473443</v>
      </c>
      <c r="H258" s="134" t="s">
        <v>1335</v>
      </c>
      <c r="I258" s="134" t="s">
        <v>378</v>
      </c>
      <c r="J258">
        <v>0</v>
      </c>
      <c r="K258">
        <v>0</v>
      </c>
    </row>
    <row r="259" spans="1:11" x14ac:dyDescent="0.2">
      <c r="A259" s="165">
        <v>45934.651493055557</v>
      </c>
      <c r="B259" s="134" t="s">
        <v>1336</v>
      </c>
      <c r="C259" s="134" t="s">
        <v>1337</v>
      </c>
      <c r="D259" s="165">
        <v>45944.986145833333</v>
      </c>
      <c r="E259" s="165">
        <v>45975.08016203704</v>
      </c>
      <c r="F259" s="134" t="s">
        <v>1147</v>
      </c>
      <c r="G259">
        <v>4069518107690</v>
      </c>
      <c r="H259" s="134" t="s">
        <v>1338</v>
      </c>
      <c r="I259" s="134" t="s">
        <v>204</v>
      </c>
      <c r="J259">
        <v>0</v>
      </c>
      <c r="K259">
        <v>0</v>
      </c>
    </row>
    <row r="260" spans="1:11" x14ac:dyDescent="0.2">
      <c r="A260" s="165">
        <v>45932.641527777778</v>
      </c>
      <c r="B260" s="134" t="s">
        <v>1339</v>
      </c>
      <c r="C260" s="134" t="s">
        <v>1340</v>
      </c>
      <c r="D260" s="165">
        <v>45941.212557870371</v>
      </c>
      <c r="E260" s="165">
        <v>45969.080208333333</v>
      </c>
      <c r="F260" s="134" t="s">
        <v>1341</v>
      </c>
      <c r="G260">
        <v>4069518470886</v>
      </c>
      <c r="H260" s="134" t="s">
        <v>1342</v>
      </c>
      <c r="I260" s="134" t="s">
        <v>362</v>
      </c>
      <c r="J260">
        <v>0</v>
      </c>
      <c r="K260">
        <v>0</v>
      </c>
    </row>
    <row r="261" spans="1:11" x14ac:dyDescent="0.2">
      <c r="A261" s="165">
        <v>45931.355937499997</v>
      </c>
      <c r="B261" s="134" t="s">
        <v>1330</v>
      </c>
      <c r="C261" s="134" t="s">
        <v>1343</v>
      </c>
      <c r="D261" s="165">
        <v>45943.222986111112</v>
      </c>
      <c r="E261" s="165">
        <v>45985.465370370373</v>
      </c>
      <c r="F261" s="134" t="s">
        <v>530</v>
      </c>
      <c r="G261">
        <v>4069518142783</v>
      </c>
      <c r="H261" s="134" t="s">
        <v>1344</v>
      </c>
      <c r="I261" s="134" t="s">
        <v>532</v>
      </c>
      <c r="J261">
        <v>1</v>
      </c>
      <c r="K261">
        <v>0</v>
      </c>
    </row>
    <row r="262" spans="1:11" x14ac:dyDescent="0.2">
      <c r="A262" s="165">
        <v>45931.354733796295</v>
      </c>
      <c r="B262" s="134" t="s">
        <v>431</v>
      </c>
      <c r="C262" s="134" t="s">
        <v>431</v>
      </c>
      <c r="D262" s="165">
        <v>45941.999988425923</v>
      </c>
      <c r="E262" s="165">
        <v>45931.441064814811</v>
      </c>
      <c r="F262" s="134" t="s">
        <v>530</v>
      </c>
      <c r="G262">
        <v>4069518142783</v>
      </c>
      <c r="H262" s="134" t="s">
        <v>1345</v>
      </c>
      <c r="I262" s="134" t="s">
        <v>532</v>
      </c>
      <c r="J262">
        <v>1</v>
      </c>
      <c r="K262">
        <v>0</v>
      </c>
    </row>
    <row r="263" spans="1:11" x14ac:dyDescent="0.2">
      <c r="A263" s="165">
        <v>45929.596631944441</v>
      </c>
      <c r="B263" s="134" t="s">
        <v>1339</v>
      </c>
      <c r="C263" s="134" t="s">
        <v>1346</v>
      </c>
      <c r="D263" s="165">
        <v>45941.212557870371</v>
      </c>
      <c r="E263" s="165">
        <v>45969.080208333333</v>
      </c>
      <c r="F263" s="134" t="s">
        <v>1347</v>
      </c>
      <c r="G263">
        <v>4069518305348</v>
      </c>
      <c r="H263" s="134" t="s">
        <v>1348</v>
      </c>
      <c r="I263" s="134" t="s">
        <v>266</v>
      </c>
      <c r="J263">
        <v>0</v>
      </c>
      <c r="K263">
        <v>0</v>
      </c>
    </row>
    <row r="264" spans="1:11" x14ac:dyDescent="0.2">
      <c r="A264" s="165">
        <v>45928.89303240741</v>
      </c>
      <c r="B264" s="134" t="s">
        <v>1349</v>
      </c>
      <c r="C264" s="134" t="s">
        <v>1350</v>
      </c>
      <c r="D264" s="165">
        <v>45936.331967592596</v>
      </c>
      <c r="E264" s="165">
        <v>45968.08021990741</v>
      </c>
      <c r="F264" s="134" t="s">
        <v>1227</v>
      </c>
      <c r="G264">
        <v>4069518388150</v>
      </c>
      <c r="H264" s="134" t="s">
        <v>1351</v>
      </c>
      <c r="I264" s="134" t="s">
        <v>298</v>
      </c>
      <c r="J264">
        <v>0</v>
      </c>
      <c r="K264">
        <v>0</v>
      </c>
    </row>
    <row r="265" spans="1:11" x14ac:dyDescent="0.2">
      <c r="A265" s="165">
        <v>45928.881597222222</v>
      </c>
      <c r="B265" s="134" t="s">
        <v>1352</v>
      </c>
      <c r="C265" s="134" t="s">
        <v>1353</v>
      </c>
      <c r="D265" s="165">
        <v>45941.212569444448</v>
      </c>
      <c r="E265" s="165">
        <v>45969.080208333333</v>
      </c>
      <c r="F265" s="134" t="s">
        <v>103</v>
      </c>
      <c r="G265">
        <v>4069518471784</v>
      </c>
      <c r="H265" s="134" t="s">
        <v>1354</v>
      </c>
      <c r="I265" s="134" t="s">
        <v>104</v>
      </c>
      <c r="J265">
        <v>0</v>
      </c>
      <c r="K265">
        <v>0</v>
      </c>
    </row>
    <row r="266" spans="1:11" x14ac:dyDescent="0.2">
      <c r="A266" s="165">
        <v>45926.90828703704</v>
      </c>
      <c r="B266" s="134" t="s">
        <v>1339</v>
      </c>
      <c r="C266" s="134" t="s">
        <v>1355</v>
      </c>
      <c r="D266" s="165">
        <v>45941.212557870371</v>
      </c>
      <c r="E266" s="165">
        <v>45969.080208333333</v>
      </c>
      <c r="F266" s="134" t="s">
        <v>872</v>
      </c>
      <c r="G266">
        <v>4069518479483</v>
      </c>
      <c r="H266" s="134" t="s">
        <v>1356</v>
      </c>
      <c r="I266" s="134" t="s">
        <v>388</v>
      </c>
      <c r="J266">
        <v>0</v>
      </c>
      <c r="K266">
        <v>0</v>
      </c>
    </row>
    <row r="267" spans="1:11" x14ac:dyDescent="0.2">
      <c r="A267" s="165">
        <v>45926.623391203706</v>
      </c>
      <c r="B267" s="134" t="s">
        <v>1357</v>
      </c>
      <c r="C267" s="134" t="s">
        <v>1358</v>
      </c>
      <c r="D267" s="165">
        <v>45936.319502314815</v>
      </c>
      <c r="E267" s="165">
        <v>45967.080023148148</v>
      </c>
      <c r="F267" s="134" t="s">
        <v>1359</v>
      </c>
      <c r="G267">
        <v>4069518328224</v>
      </c>
      <c r="H267" s="134" t="s">
        <v>1360</v>
      </c>
      <c r="I267" s="134" t="s">
        <v>276</v>
      </c>
      <c r="J267">
        <v>0</v>
      </c>
      <c r="K267">
        <v>0</v>
      </c>
    </row>
    <row r="268" spans="1:11" x14ac:dyDescent="0.2">
      <c r="A268" s="165">
        <v>45924.866643518515</v>
      </c>
      <c r="B268" s="134" t="s">
        <v>1361</v>
      </c>
      <c r="C268" s="134" t="s">
        <v>1362</v>
      </c>
      <c r="D268" s="165">
        <v>45936.325023148151</v>
      </c>
      <c r="E268" s="165">
        <v>45968.08021990741</v>
      </c>
      <c r="F268" s="134" t="s">
        <v>431</v>
      </c>
      <c r="H268" s="134" t="s">
        <v>1363</v>
      </c>
      <c r="I268" s="134" t="s">
        <v>431</v>
      </c>
      <c r="J268">
        <v>1</v>
      </c>
      <c r="K268">
        <v>0</v>
      </c>
    </row>
    <row r="269" spans="1:11" x14ac:dyDescent="0.2">
      <c r="A269" s="165">
        <v>45924.852847222224</v>
      </c>
      <c r="B269" s="134" t="s">
        <v>1364</v>
      </c>
      <c r="C269" s="134" t="s">
        <v>1365</v>
      </c>
      <c r="D269" s="165">
        <v>45936.193124999998</v>
      </c>
      <c r="E269" s="165">
        <v>45967.080023148148</v>
      </c>
      <c r="F269" s="134" t="s">
        <v>1366</v>
      </c>
      <c r="G269">
        <v>4069518509975</v>
      </c>
      <c r="H269" s="134" t="s">
        <v>1367</v>
      </c>
      <c r="I269" s="134" t="s">
        <v>401</v>
      </c>
      <c r="J269">
        <v>0</v>
      </c>
      <c r="K269">
        <v>0</v>
      </c>
    </row>
    <row r="270" spans="1:11" x14ac:dyDescent="0.2">
      <c r="A270" s="165">
        <v>45923.936909722222</v>
      </c>
      <c r="B270" s="134" t="s">
        <v>1339</v>
      </c>
      <c r="C270" s="134" t="s">
        <v>1368</v>
      </c>
      <c r="D270" s="165">
        <v>45941.212557870371</v>
      </c>
      <c r="E270" s="165">
        <v>45970.080196759256</v>
      </c>
      <c r="F270" s="134" t="s">
        <v>1260</v>
      </c>
      <c r="G270">
        <v>4069518507551</v>
      </c>
      <c r="H270" s="134" t="s">
        <v>1369</v>
      </c>
      <c r="I270" s="134" t="s">
        <v>1262</v>
      </c>
      <c r="J270">
        <v>0</v>
      </c>
      <c r="K270">
        <v>0</v>
      </c>
    </row>
    <row r="271" spans="1:11" x14ac:dyDescent="0.2">
      <c r="A271" s="165">
        <v>45923.563032407408</v>
      </c>
      <c r="B271" s="134" t="s">
        <v>1370</v>
      </c>
      <c r="C271" s="134" t="s">
        <v>1371</v>
      </c>
      <c r="D271" s="165">
        <v>45941.244479166664</v>
      </c>
      <c r="E271" s="165">
        <v>45969.080208333333</v>
      </c>
      <c r="F271" s="134" t="s">
        <v>1372</v>
      </c>
      <c r="G271">
        <v>741575686410</v>
      </c>
      <c r="H271" s="134" t="s">
        <v>1373</v>
      </c>
      <c r="I271" s="134" t="s">
        <v>1374</v>
      </c>
      <c r="J271">
        <v>1</v>
      </c>
      <c r="K271">
        <v>0</v>
      </c>
    </row>
    <row r="272" spans="1:11" x14ac:dyDescent="0.2">
      <c r="A272" s="165">
        <v>45922.434687499997</v>
      </c>
      <c r="B272" s="134" t="s">
        <v>1375</v>
      </c>
      <c r="C272" s="134" t="s">
        <v>1376</v>
      </c>
      <c r="D272" s="165">
        <v>45932.054189814815</v>
      </c>
      <c r="E272" s="165">
        <v>45960.080092592594</v>
      </c>
      <c r="F272" s="134" t="s">
        <v>113</v>
      </c>
      <c r="G272">
        <v>4069518389898</v>
      </c>
      <c r="H272" s="134" t="s">
        <v>1377</v>
      </c>
      <c r="I272" s="134" t="s">
        <v>114</v>
      </c>
      <c r="J272">
        <v>0</v>
      </c>
      <c r="K272">
        <v>0</v>
      </c>
    </row>
    <row r="273" spans="1:11" x14ac:dyDescent="0.2">
      <c r="A273" s="165">
        <v>45922.434687499997</v>
      </c>
      <c r="B273" s="134" t="s">
        <v>1375</v>
      </c>
      <c r="C273" s="134" t="s">
        <v>1376</v>
      </c>
      <c r="D273" s="165">
        <v>45932.054189814815</v>
      </c>
      <c r="E273" s="165">
        <v>45960.080092592594</v>
      </c>
      <c r="F273" s="134" t="s">
        <v>113</v>
      </c>
      <c r="G273">
        <v>4069518389898</v>
      </c>
      <c r="H273" s="134" t="s">
        <v>1377</v>
      </c>
      <c r="I273" s="134" t="s">
        <v>114</v>
      </c>
      <c r="J273">
        <v>0</v>
      </c>
      <c r="K273">
        <v>0</v>
      </c>
    </row>
    <row r="274" spans="1:11" x14ac:dyDescent="0.2">
      <c r="A274" s="165">
        <v>45922.434687499997</v>
      </c>
      <c r="B274" s="134" t="s">
        <v>1375</v>
      </c>
      <c r="C274" s="134" t="s">
        <v>1376</v>
      </c>
      <c r="D274" s="165">
        <v>45932.054189814815</v>
      </c>
      <c r="E274" s="165">
        <v>45960.080092592594</v>
      </c>
      <c r="F274" s="134" t="s">
        <v>113</v>
      </c>
      <c r="G274">
        <v>4069518389898</v>
      </c>
      <c r="H274" s="134" t="s">
        <v>1377</v>
      </c>
      <c r="I274" s="134" t="s">
        <v>114</v>
      </c>
      <c r="J274">
        <v>0</v>
      </c>
      <c r="K274">
        <v>0</v>
      </c>
    </row>
    <row r="275" spans="1:11" x14ac:dyDescent="0.2">
      <c r="A275" s="165">
        <v>45921.493900462963</v>
      </c>
      <c r="B275" s="134" t="s">
        <v>1378</v>
      </c>
      <c r="C275" s="134" t="s">
        <v>1379</v>
      </c>
      <c r="D275" s="165">
        <v>45936.006365740737</v>
      </c>
      <c r="E275" s="165">
        <v>46051.434131944443</v>
      </c>
      <c r="F275" s="134" t="s">
        <v>1380</v>
      </c>
      <c r="G275">
        <v>4069518460559</v>
      </c>
      <c r="H275" s="134" t="s">
        <v>1381</v>
      </c>
      <c r="I275" s="134" t="s">
        <v>332</v>
      </c>
      <c r="J275">
        <v>0</v>
      </c>
      <c r="K275">
        <v>0</v>
      </c>
    </row>
    <row r="276" spans="1:11" x14ac:dyDescent="0.2">
      <c r="A276" s="165">
        <v>45921.493900462963</v>
      </c>
      <c r="B276" s="134" t="s">
        <v>1378</v>
      </c>
      <c r="C276" s="134" t="s">
        <v>1379</v>
      </c>
      <c r="D276" s="165">
        <v>45936.006365740737</v>
      </c>
      <c r="E276" s="165">
        <v>46051.434131944443</v>
      </c>
      <c r="F276" s="134" t="s">
        <v>1380</v>
      </c>
      <c r="G276">
        <v>4069518460559</v>
      </c>
      <c r="H276" s="134" t="s">
        <v>1381</v>
      </c>
      <c r="I276" s="134" t="s">
        <v>332</v>
      </c>
      <c r="J276">
        <v>0</v>
      </c>
      <c r="K276">
        <v>0</v>
      </c>
    </row>
    <row r="277" spans="1:11" x14ac:dyDescent="0.2">
      <c r="A277" s="165">
        <v>45920.416932870372</v>
      </c>
      <c r="B277" s="134" t="s">
        <v>1382</v>
      </c>
      <c r="C277" s="134" t="s">
        <v>1383</v>
      </c>
      <c r="D277" s="165">
        <v>45929.303495370368</v>
      </c>
      <c r="E277" s="165">
        <v>45957.080127314817</v>
      </c>
      <c r="F277" s="134" t="s">
        <v>1384</v>
      </c>
      <c r="G277">
        <v>4069518254561</v>
      </c>
      <c r="H277" s="134" t="s">
        <v>1385</v>
      </c>
      <c r="I277" s="134" t="s">
        <v>235</v>
      </c>
      <c r="J277">
        <v>1</v>
      </c>
      <c r="K277">
        <v>0</v>
      </c>
    </row>
    <row r="278" spans="1:11" x14ac:dyDescent="0.2">
      <c r="A278" s="165">
        <v>45919.622708333336</v>
      </c>
      <c r="B278" s="134" t="s">
        <v>1386</v>
      </c>
      <c r="C278" s="134" t="s">
        <v>1387</v>
      </c>
      <c r="D278" s="165">
        <v>45929.304189814815</v>
      </c>
      <c r="E278" s="165">
        <v>45957.080127314817</v>
      </c>
      <c r="F278" s="134" t="s">
        <v>1248</v>
      </c>
      <c r="G278">
        <v>4069518242254</v>
      </c>
      <c r="H278" s="134" t="s">
        <v>1388</v>
      </c>
      <c r="I278" s="134" t="s">
        <v>223</v>
      </c>
      <c r="J278">
        <v>1</v>
      </c>
      <c r="K278">
        <v>0</v>
      </c>
    </row>
    <row r="279" spans="1:11" x14ac:dyDescent="0.2">
      <c r="A279" s="165">
        <v>45919.512685185182</v>
      </c>
      <c r="B279" s="134" t="s">
        <v>1389</v>
      </c>
      <c r="C279" s="134" t="s">
        <v>1390</v>
      </c>
      <c r="D279" s="165">
        <v>45936.005624999998</v>
      </c>
      <c r="E279" s="165">
        <v>45963.080081018517</v>
      </c>
      <c r="F279" s="134" t="s">
        <v>907</v>
      </c>
      <c r="G279">
        <v>4069518415528</v>
      </c>
      <c r="H279" s="134" t="s">
        <v>1391</v>
      </c>
      <c r="I279" s="134" t="s">
        <v>321</v>
      </c>
      <c r="J279">
        <v>0</v>
      </c>
      <c r="K279">
        <v>0</v>
      </c>
    </row>
    <row r="280" spans="1:11" x14ac:dyDescent="0.2">
      <c r="A280" s="165">
        <v>45917.650358796294</v>
      </c>
      <c r="B280" s="134" t="s">
        <v>1392</v>
      </c>
      <c r="C280" s="134" t="s">
        <v>1393</v>
      </c>
      <c r="D280" s="165">
        <v>45932.009143518517</v>
      </c>
      <c r="E280" s="165">
        <v>45960.080092592594</v>
      </c>
      <c r="F280" s="134" t="s">
        <v>101</v>
      </c>
      <c r="G280">
        <v>4069518510858</v>
      </c>
      <c r="H280" s="134" t="s">
        <v>1394</v>
      </c>
      <c r="I280" s="134" t="s">
        <v>102</v>
      </c>
      <c r="J280">
        <v>0</v>
      </c>
      <c r="K280">
        <v>0</v>
      </c>
    </row>
    <row r="281" spans="1:11" x14ac:dyDescent="0.2">
      <c r="A281" s="165">
        <v>45916.923460648148</v>
      </c>
      <c r="B281" s="134" t="s">
        <v>1395</v>
      </c>
      <c r="C281" s="134" t="s">
        <v>1396</v>
      </c>
      <c r="D281" s="165">
        <v>45934.207685185182</v>
      </c>
      <c r="E281" s="165">
        <v>45943.083460648151</v>
      </c>
      <c r="F281" s="134" t="s">
        <v>1397</v>
      </c>
      <c r="G281">
        <v>4069518039809</v>
      </c>
      <c r="H281" s="134" t="s">
        <v>1398</v>
      </c>
      <c r="I281" s="134" t="s">
        <v>161</v>
      </c>
      <c r="J281">
        <v>0</v>
      </c>
      <c r="K281">
        <v>0</v>
      </c>
    </row>
    <row r="282" spans="1:11" x14ac:dyDescent="0.2">
      <c r="A282" s="165">
        <v>45916.521111111113</v>
      </c>
      <c r="B282" s="134" t="s">
        <v>1399</v>
      </c>
      <c r="C282" s="134" t="s">
        <v>1400</v>
      </c>
      <c r="D282" s="165">
        <v>45929.222372685188</v>
      </c>
      <c r="E282" s="165">
        <v>45957.080127314817</v>
      </c>
      <c r="F282" s="134" t="s">
        <v>1401</v>
      </c>
      <c r="G282">
        <v>741575662094</v>
      </c>
      <c r="H282" s="134" t="s">
        <v>1402</v>
      </c>
      <c r="I282" s="134" t="s">
        <v>134</v>
      </c>
      <c r="J282">
        <v>0</v>
      </c>
      <c r="K282">
        <v>0</v>
      </c>
    </row>
    <row r="283" spans="1:11" x14ac:dyDescent="0.2">
      <c r="A283" s="165">
        <v>45915.927233796298</v>
      </c>
      <c r="B283" s="134" t="s">
        <v>1403</v>
      </c>
      <c r="C283" s="134" t="s">
        <v>1404</v>
      </c>
      <c r="D283" s="165">
        <v>45927.271562499998</v>
      </c>
      <c r="E283" s="165">
        <v>45960.080092592594</v>
      </c>
      <c r="F283" s="134" t="s">
        <v>1405</v>
      </c>
      <c r="G283">
        <v>4069518465844</v>
      </c>
      <c r="H283" s="134" t="s">
        <v>1406</v>
      </c>
      <c r="I283" s="134" t="s">
        <v>337</v>
      </c>
      <c r="J283">
        <v>0</v>
      </c>
      <c r="K283">
        <v>0</v>
      </c>
    </row>
    <row r="284" spans="1:11" x14ac:dyDescent="0.2">
      <c r="A284" s="165">
        <v>45915.762685185182</v>
      </c>
      <c r="B284" s="134" t="s">
        <v>1407</v>
      </c>
      <c r="C284" s="134" t="s">
        <v>1408</v>
      </c>
      <c r="D284" s="165">
        <v>45926.30908564815</v>
      </c>
      <c r="E284" s="165">
        <v>45956.080023148148</v>
      </c>
      <c r="F284" s="134" t="s">
        <v>1409</v>
      </c>
      <c r="G284">
        <v>4069518088579</v>
      </c>
      <c r="H284" s="134" t="s">
        <v>1410</v>
      </c>
      <c r="I284" s="134" t="s">
        <v>1411</v>
      </c>
      <c r="J284">
        <v>1</v>
      </c>
      <c r="K284">
        <v>0</v>
      </c>
    </row>
    <row r="285" spans="1:11" x14ac:dyDescent="0.2">
      <c r="A285" s="165">
        <v>45915.720555555556</v>
      </c>
      <c r="B285" s="134" t="s">
        <v>1412</v>
      </c>
      <c r="C285" s="134" t="s">
        <v>1413</v>
      </c>
      <c r="D285" s="165">
        <v>45926.275740740741</v>
      </c>
      <c r="E285" s="165">
        <v>45973.080138888887</v>
      </c>
      <c r="F285" s="134" t="s">
        <v>1414</v>
      </c>
      <c r="G285">
        <v>4069518057070</v>
      </c>
      <c r="H285" s="134" t="s">
        <v>1415</v>
      </c>
      <c r="I285" s="134" t="s">
        <v>173</v>
      </c>
      <c r="J285">
        <v>1</v>
      </c>
      <c r="K285">
        <v>0</v>
      </c>
    </row>
    <row r="286" spans="1:11" x14ac:dyDescent="0.2">
      <c r="A286" s="165">
        <v>45914.738576388889</v>
      </c>
      <c r="B286" s="134" t="s">
        <v>1416</v>
      </c>
      <c r="C286" s="134" t="s">
        <v>1417</v>
      </c>
      <c r="D286" s="165">
        <v>45924.625115740739</v>
      </c>
      <c r="E286" s="165">
        <v>45954.333657407406</v>
      </c>
      <c r="F286" s="134" t="s">
        <v>513</v>
      </c>
      <c r="G286">
        <v>4069518379776</v>
      </c>
      <c r="H286" s="134" t="s">
        <v>1418</v>
      </c>
      <c r="I286" s="134" t="s">
        <v>290</v>
      </c>
      <c r="J286">
        <v>0</v>
      </c>
      <c r="K286">
        <v>0</v>
      </c>
    </row>
    <row r="287" spans="1:11" x14ac:dyDescent="0.2">
      <c r="A287" s="165">
        <v>45914.454571759263</v>
      </c>
      <c r="B287" s="134" t="s">
        <v>1419</v>
      </c>
      <c r="C287" s="134" t="s">
        <v>1420</v>
      </c>
      <c r="D287" s="165">
        <v>45923.98474537037</v>
      </c>
      <c r="E287" s="165">
        <v>45954.333657407406</v>
      </c>
      <c r="F287" s="134" t="s">
        <v>1421</v>
      </c>
      <c r="G287">
        <v>4069518261392</v>
      </c>
      <c r="H287" s="134" t="s">
        <v>1422</v>
      </c>
      <c r="I287" s="134" t="s">
        <v>260</v>
      </c>
      <c r="J287">
        <v>1</v>
      </c>
      <c r="K287">
        <v>0</v>
      </c>
    </row>
    <row r="288" spans="1:11" x14ac:dyDescent="0.2">
      <c r="A288" s="165">
        <v>45914.386365740742</v>
      </c>
      <c r="B288" s="134" t="s">
        <v>1423</v>
      </c>
      <c r="C288" s="134" t="s">
        <v>1424</v>
      </c>
      <c r="D288" s="165">
        <v>45920.111307870371</v>
      </c>
      <c r="E288" s="165">
        <v>45951.08</v>
      </c>
      <c r="F288" s="134" t="s">
        <v>1425</v>
      </c>
      <c r="G288">
        <v>4069518508169</v>
      </c>
      <c r="H288" s="134" t="s">
        <v>1426</v>
      </c>
      <c r="I288" s="134" t="s">
        <v>395</v>
      </c>
      <c r="J288">
        <v>0</v>
      </c>
      <c r="K288">
        <v>0</v>
      </c>
    </row>
    <row r="289" spans="1:11" x14ac:dyDescent="0.2">
      <c r="A289" s="165">
        <v>45913.702696759261</v>
      </c>
      <c r="B289" s="134" t="s">
        <v>431</v>
      </c>
      <c r="C289" s="134" t="s">
        <v>431</v>
      </c>
      <c r="D289" s="165">
        <v>45924.999988425923</v>
      </c>
      <c r="E289" s="165">
        <v>45913.788229166668</v>
      </c>
      <c r="F289" s="134" t="s">
        <v>517</v>
      </c>
      <c r="G289">
        <v>4069518328989</v>
      </c>
      <c r="H289" s="134" t="s">
        <v>1427</v>
      </c>
      <c r="I289" s="134" t="s">
        <v>277</v>
      </c>
      <c r="J289">
        <v>0</v>
      </c>
      <c r="K289">
        <v>0</v>
      </c>
    </row>
    <row r="290" spans="1:11" x14ac:dyDescent="0.2">
      <c r="A290" s="165">
        <v>45913.314664351848</v>
      </c>
      <c r="B290" s="134" t="s">
        <v>1428</v>
      </c>
      <c r="C290" s="134" t="s">
        <v>1429</v>
      </c>
      <c r="D290" s="165">
        <v>45922.316689814812</v>
      </c>
      <c r="E290" s="165">
        <v>45951.08</v>
      </c>
      <c r="F290" s="134" t="s">
        <v>1430</v>
      </c>
      <c r="G290">
        <v>4069518256183</v>
      </c>
      <c r="H290" s="134" t="s">
        <v>1431</v>
      </c>
      <c r="I290" s="134" t="s">
        <v>240</v>
      </c>
      <c r="J290">
        <v>0</v>
      </c>
      <c r="K290">
        <v>0</v>
      </c>
    </row>
    <row r="291" spans="1:11" x14ac:dyDescent="0.2">
      <c r="A291" s="165">
        <v>45911.685983796298</v>
      </c>
      <c r="B291" s="134" t="s">
        <v>1432</v>
      </c>
      <c r="C291" s="134" t="s">
        <v>1433</v>
      </c>
      <c r="D291" s="165">
        <v>45922.236921296295</v>
      </c>
      <c r="E291" s="165">
        <v>45951.777916666666</v>
      </c>
      <c r="F291" s="134" t="s">
        <v>1434</v>
      </c>
      <c r="G291">
        <v>4069518255292</v>
      </c>
      <c r="H291" s="134" t="s">
        <v>1435</v>
      </c>
      <c r="I291" s="134" t="s">
        <v>236</v>
      </c>
      <c r="J291">
        <v>1</v>
      </c>
      <c r="K291">
        <v>0</v>
      </c>
    </row>
    <row r="292" spans="1:11" x14ac:dyDescent="0.2">
      <c r="A292" s="165">
        <v>45911.29347222222</v>
      </c>
      <c r="B292" s="134" t="s">
        <v>1436</v>
      </c>
      <c r="C292" s="134" t="s">
        <v>1437</v>
      </c>
      <c r="D292" s="165">
        <v>45922.224351851852</v>
      </c>
      <c r="E292" s="165">
        <v>45950.08016203704</v>
      </c>
      <c r="F292" s="134" t="s">
        <v>1438</v>
      </c>
      <c r="G292">
        <v>4069518259498</v>
      </c>
      <c r="H292" s="134" t="s">
        <v>1439</v>
      </c>
      <c r="I292" s="134" t="s">
        <v>250</v>
      </c>
      <c r="J292">
        <v>1</v>
      </c>
      <c r="K292">
        <v>0</v>
      </c>
    </row>
    <row r="293" spans="1:11" x14ac:dyDescent="0.2">
      <c r="A293" s="165">
        <v>45910.875879629632</v>
      </c>
      <c r="B293" s="134" t="s">
        <v>1440</v>
      </c>
      <c r="C293" s="134" t="s">
        <v>1441</v>
      </c>
      <c r="D293" s="165">
        <v>45919.348680555559</v>
      </c>
      <c r="E293" s="165">
        <v>45948.080150462964</v>
      </c>
      <c r="F293" s="134" t="s">
        <v>1442</v>
      </c>
      <c r="G293">
        <v>4069518408940</v>
      </c>
      <c r="H293" s="134" t="s">
        <v>1443</v>
      </c>
      <c r="I293" s="134" t="s">
        <v>311</v>
      </c>
      <c r="J293">
        <v>0</v>
      </c>
      <c r="K293">
        <v>0</v>
      </c>
    </row>
    <row r="294" spans="1:11" x14ac:dyDescent="0.2">
      <c r="A294" s="165">
        <v>45909.867372685185</v>
      </c>
      <c r="B294" s="134" t="s">
        <v>1444</v>
      </c>
      <c r="C294" s="134" t="s">
        <v>1445</v>
      </c>
      <c r="D294" s="165">
        <v>45922.218819444446</v>
      </c>
      <c r="E294" s="165">
        <v>45950.08016203704</v>
      </c>
      <c r="F294" s="134" t="s">
        <v>1446</v>
      </c>
      <c r="G294">
        <v>741575679184</v>
      </c>
      <c r="H294" s="134" t="s">
        <v>1447</v>
      </c>
      <c r="I294" s="134" t="s">
        <v>143</v>
      </c>
      <c r="J294">
        <v>0</v>
      </c>
      <c r="K294">
        <v>0</v>
      </c>
    </row>
    <row r="295" spans="1:11" x14ac:dyDescent="0.2">
      <c r="A295" s="165">
        <v>45908.589895833335</v>
      </c>
      <c r="B295" s="134" t="s">
        <v>1448</v>
      </c>
      <c r="C295" s="134" t="s">
        <v>1449</v>
      </c>
      <c r="D295" s="165">
        <v>45918.116736111115</v>
      </c>
      <c r="E295" s="165">
        <v>45947.08016203704</v>
      </c>
      <c r="F295" s="134" t="s">
        <v>1450</v>
      </c>
      <c r="G295">
        <v>4069518256039</v>
      </c>
      <c r="H295" s="134" t="s">
        <v>1451</v>
      </c>
      <c r="I295" s="134" t="s">
        <v>238</v>
      </c>
      <c r="J295">
        <v>1</v>
      </c>
      <c r="K295">
        <v>0</v>
      </c>
    </row>
    <row r="296" spans="1:11" x14ac:dyDescent="0.2">
      <c r="A296" s="165">
        <v>45908.433263888888</v>
      </c>
      <c r="B296" s="134" t="s">
        <v>1452</v>
      </c>
      <c r="C296" s="134" t="s">
        <v>1453</v>
      </c>
      <c r="D296" s="165">
        <v>45913.365312499998</v>
      </c>
      <c r="E296" s="165">
        <v>45990.080069444448</v>
      </c>
      <c r="F296" s="134" t="s">
        <v>115</v>
      </c>
      <c r="G296">
        <v>4069518512890</v>
      </c>
      <c r="H296" s="134" t="s">
        <v>1454</v>
      </c>
      <c r="I296" s="134" t="s">
        <v>116</v>
      </c>
      <c r="J296">
        <v>0</v>
      </c>
      <c r="K296">
        <v>0</v>
      </c>
    </row>
    <row r="297" spans="1:11" x14ac:dyDescent="0.2">
      <c r="A297" s="165">
        <v>45906.638472222221</v>
      </c>
      <c r="B297" s="134" t="s">
        <v>1455</v>
      </c>
      <c r="C297" s="134" t="s">
        <v>1456</v>
      </c>
      <c r="D297" s="165">
        <v>45919.116053240738</v>
      </c>
      <c r="E297" s="165">
        <v>45947.08016203704</v>
      </c>
      <c r="F297" s="134" t="s">
        <v>1457</v>
      </c>
      <c r="G297">
        <v>4069518476673</v>
      </c>
      <c r="H297" s="134" t="s">
        <v>1458</v>
      </c>
      <c r="I297" s="134" t="s">
        <v>380</v>
      </c>
      <c r="J297">
        <v>0</v>
      </c>
      <c r="K297">
        <v>0</v>
      </c>
    </row>
    <row r="298" spans="1:11" x14ac:dyDescent="0.2">
      <c r="A298" s="165">
        <v>45906.5859375</v>
      </c>
      <c r="B298" s="134" t="s">
        <v>1459</v>
      </c>
      <c r="C298" s="134" t="s">
        <v>1460</v>
      </c>
      <c r="D298" s="165">
        <v>45919.116041666668</v>
      </c>
      <c r="E298" s="165">
        <v>45947.08016203704</v>
      </c>
      <c r="F298" s="134" t="s">
        <v>1461</v>
      </c>
      <c r="G298">
        <v>4069518308691</v>
      </c>
      <c r="H298" s="134" t="s">
        <v>1462</v>
      </c>
      <c r="I298" s="134" t="s">
        <v>271</v>
      </c>
      <c r="J298">
        <v>0</v>
      </c>
      <c r="K298">
        <v>0</v>
      </c>
    </row>
    <row r="299" spans="1:11" x14ac:dyDescent="0.2">
      <c r="A299" s="165">
        <v>45906.39770833333</v>
      </c>
      <c r="B299" s="134" t="s">
        <v>1463</v>
      </c>
      <c r="C299" s="134" t="s">
        <v>1464</v>
      </c>
      <c r="D299" s="165">
        <v>45919.115312499998</v>
      </c>
      <c r="E299" s="165">
        <v>45947.08016203704</v>
      </c>
      <c r="F299" s="134" t="s">
        <v>1465</v>
      </c>
      <c r="G299">
        <v>4069518411230</v>
      </c>
      <c r="H299" s="134" t="s">
        <v>1466</v>
      </c>
      <c r="I299" s="134" t="s">
        <v>315</v>
      </c>
      <c r="J299">
        <v>0</v>
      </c>
      <c r="K299">
        <v>0</v>
      </c>
    </row>
    <row r="300" spans="1:11" x14ac:dyDescent="0.2">
      <c r="A300" s="165">
        <v>45905.744930555556</v>
      </c>
      <c r="B300" s="134" t="s">
        <v>1467</v>
      </c>
      <c r="C300" s="134" t="s">
        <v>1468</v>
      </c>
      <c r="D300" s="165">
        <v>45923.776458333334</v>
      </c>
      <c r="E300" s="165">
        <v>45951.08</v>
      </c>
      <c r="F300" s="134" t="s">
        <v>1469</v>
      </c>
      <c r="G300">
        <v>4069518513729</v>
      </c>
      <c r="H300" s="134" t="s">
        <v>1470</v>
      </c>
      <c r="I300" s="134" t="s">
        <v>408</v>
      </c>
      <c r="J300">
        <v>0</v>
      </c>
      <c r="K300">
        <v>0</v>
      </c>
    </row>
    <row r="301" spans="1:11" x14ac:dyDescent="0.2">
      <c r="A301" s="165">
        <v>45905.663680555554</v>
      </c>
      <c r="B301" s="134" t="s">
        <v>1471</v>
      </c>
      <c r="C301" s="134" t="s">
        <v>1472</v>
      </c>
      <c r="D301" s="165">
        <v>45913.240335648145</v>
      </c>
      <c r="E301" s="165">
        <v>45942.080092592594</v>
      </c>
      <c r="F301" s="134" t="s">
        <v>1473</v>
      </c>
      <c r="G301">
        <v>4069518103753</v>
      </c>
      <c r="H301" s="134" t="s">
        <v>1474</v>
      </c>
      <c r="I301" s="134" t="s">
        <v>200</v>
      </c>
      <c r="J301">
        <v>1</v>
      </c>
      <c r="K301">
        <v>0</v>
      </c>
    </row>
    <row r="302" spans="1:11" x14ac:dyDescent="0.2">
      <c r="A302" s="165">
        <v>45904.926712962966</v>
      </c>
      <c r="B302" s="134" t="s">
        <v>1475</v>
      </c>
      <c r="C302" s="134" t="s">
        <v>1476</v>
      </c>
      <c r="D302" s="165">
        <v>45916.226458333331</v>
      </c>
      <c r="E302" s="165">
        <v>45947.08016203704</v>
      </c>
      <c r="F302" s="134" t="s">
        <v>1477</v>
      </c>
      <c r="G302">
        <v>4069518242759</v>
      </c>
      <c r="H302" s="134" t="s">
        <v>1478</v>
      </c>
      <c r="I302" s="134" t="s">
        <v>228</v>
      </c>
      <c r="J302">
        <v>1</v>
      </c>
      <c r="K302">
        <v>0</v>
      </c>
    </row>
    <row r="303" spans="1:11" x14ac:dyDescent="0.2">
      <c r="A303" s="165">
        <v>45904.822951388887</v>
      </c>
      <c r="B303" s="134" t="s">
        <v>1479</v>
      </c>
      <c r="C303" s="134" t="s">
        <v>1480</v>
      </c>
      <c r="D303" s="165">
        <v>45913.187581018516</v>
      </c>
      <c r="E303" s="165">
        <v>45942.080092592594</v>
      </c>
      <c r="F303" s="134" t="s">
        <v>1481</v>
      </c>
      <c r="G303">
        <v>4069518376713</v>
      </c>
      <c r="H303" s="134" t="s">
        <v>1482</v>
      </c>
      <c r="I303" s="134" t="s">
        <v>286</v>
      </c>
      <c r="J303">
        <v>0</v>
      </c>
      <c r="K303">
        <v>0</v>
      </c>
    </row>
    <row r="304" spans="1:11" x14ac:dyDescent="0.2">
      <c r="A304" s="165">
        <v>45904.779189814813</v>
      </c>
      <c r="B304" s="134" t="s">
        <v>1479</v>
      </c>
      <c r="C304" s="134" t="s">
        <v>1483</v>
      </c>
      <c r="D304" s="165">
        <v>45913.187581018516</v>
      </c>
      <c r="E304" s="165">
        <v>45942.080092592594</v>
      </c>
      <c r="F304" s="134" t="s">
        <v>97</v>
      </c>
      <c r="G304">
        <v>4069518471364</v>
      </c>
      <c r="H304" s="134" t="s">
        <v>1484</v>
      </c>
      <c r="I304" s="134" t="s">
        <v>98</v>
      </c>
      <c r="J304">
        <v>0</v>
      </c>
      <c r="K304">
        <v>0</v>
      </c>
    </row>
    <row r="305" spans="1:11" x14ac:dyDescent="0.2">
      <c r="A305" s="165">
        <v>45903.962199074071</v>
      </c>
      <c r="B305" s="134" t="s">
        <v>1485</v>
      </c>
      <c r="C305" s="134" t="s">
        <v>1486</v>
      </c>
      <c r="D305" s="165">
        <v>45923.776446759257</v>
      </c>
      <c r="E305" s="165">
        <v>45951.08</v>
      </c>
      <c r="F305" s="134" t="s">
        <v>783</v>
      </c>
      <c r="G305">
        <v>4069518468487</v>
      </c>
      <c r="H305" s="134" t="s">
        <v>1487</v>
      </c>
      <c r="I305" s="134" t="s">
        <v>347</v>
      </c>
      <c r="J305">
        <v>0</v>
      </c>
      <c r="K305">
        <v>0</v>
      </c>
    </row>
    <row r="306" spans="1:11" x14ac:dyDescent="0.2">
      <c r="A306" s="165">
        <v>45902.970694444448</v>
      </c>
      <c r="B306" s="134" t="s">
        <v>1488</v>
      </c>
      <c r="C306" s="134" t="s">
        <v>1489</v>
      </c>
      <c r="D306" s="165">
        <v>45913.18822916667</v>
      </c>
      <c r="E306" s="165">
        <v>45942.080092592594</v>
      </c>
      <c r="F306" s="134" t="s">
        <v>1490</v>
      </c>
      <c r="G306">
        <v>4069518471524</v>
      </c>
      <c r="H306" s="134" t="s">
        <v>1491</v>
      </c>
      <c r="I306" s="134" t="s">
        <v>368</v>
      </c>
      <c r="J306">
        <v>0</v>
      </c>
      <c r="K306">
        <v>0</v>
      </c>
    </row>
    <row r="307" spans="1:11" x14ac:dyDescent="0.2">
      <c r="A307" s="165">
        <v>45902.562013888892</v>
      </c>
      <c r="B307" s="134" t="s">
        <v>1479</v>
      </c>
      <c r="C307" s="134" t="s">
        <v>1492</v>
      </c>
      <c r="D307" s="165">
        <v>45913.187581018516</v>
      </c>
      <c r="E307" s="165">
        <v>45941.080127314817</v>
      </c>
      <c r="F307" s="134" t="s">
        <v>1493</v>
      </c>
      <c r="G307">
        <v>4069518470480</v>
      </c>
      <c r="H307" s="134" t="s">
        <v>1494</v>
      </c>
      <c r="I307" s="134" t="s">
        <v>360</v>
      </c>
      <c r="J307">
        <v>0</v>
      </c>
      <c r="K307">
        <v>0</v>
      </c>
    </row>
    <row r="308" spans="1:11" x14ac:dyDescent="0.2">
      <c r="A308" s="165">
        <v>45902.525023148148</v>
      </c>
      <c r="B308" s="134" t="s">
        <v>1495</v>
      </c>
      <c r="C308" s="134" t="s">
        <v>1496</v>
      </c>
      <c r="D308" s="165">
        <v>45912.324374999997</v>
      </c>
      <c r="E308" s="165">
        <v>46051.444560185184</v>
      </c>
      <c r="F308" s="134" t="s">
        <v>1414</v>
      </c>
      <c r="G308">
        <v>4069518057070</v>
      </c>
      <c r="H308" s="134" t="s">
        <v>1497</v>
      </c>
      <c r="I308" s="134" t="s">
        <v>173</v>
      </c>
      <c r="J308">
        <v>1</v>
      </c>
      <c r="K308">
        <v>0</v>
      </c>
    </row>
    <row r="309" spans="1:11" x14ac:dyDescent="0.2">
      <c r="A309" s="165">
        <v>45902.371805555558</v>
      </c>
      <c r="B309" s="134" t="s">
        <v>1498</v>
      </c>
      <c r="C309" s="134" t="s">
        <v>1499</v>
      </c>
      <c r="D309" s="165">
        <v>45911.336851851855</v>
      </c>
      <c r="E309" s="165">
        <v>45940.08016203704</v>
      </c>
      <c r="F309" s="134" t="s">
        <v>1500</v>
      </c>
      <c r="G309">
        <v>741575697812</v>
      </c>
      <c r="H309" s="134" t="s">
        <v>1501</v>
      </c>
      <c r="I309" s="134" t="s">
        <v>155</v>
      </c>
      <c r="J309">
        <v>1</v>
      </c>
      <c r="K309">
        <v>0</v>
      </c>
    </row>
    <row r="310" spans="1:11" x14ac:dyDescent="0.2">
      <c r="A310" s="165">
        <v>45902.279247685183</v>
      </c>
      <c r="B310" s="134" t="s">
        <v>1495</v>
      </c>
      <c r="C310" s="134" t="s">
        <v>1502</v>
      </c>
      <c r="D310" s="165">
        <v>45912.324374999997</v>
      </c>
      <c r="E310" s="165">
        <v>45941.080069444448</v>
      </c>
      <c r="F310" s="134" t="s">
        <v>1503</v>
      </c>
      <c r="G310">
        <v>4069518242216</v>
      </c>
      <c r="H310" s="134" t="s">
        <v>1504</v>
      </c>
      <c r="I310" s="134" t="s">
        <v>222</v>
      </c>
      <c r="J310">
        <v>0</v>
      </c>
      <c r="K310">
        <v>0</v>
      </c>
    </row>
    <row r="311" spans="1:11" x14ac:dyDescent="0.2">
      <c r="A311" s="165">
        <v>45900.645729166667</v>
      </c>
      <c r="B311" s="134" t="s">
        <v>1505</v>
      </c>
      <c r="C311" s="134" t="s">
        <v>1506</v>
      </c>
      <c r="D311" s="165">
        <v>45909.104305555556</v>
      </c>
      <c r="E311" s="165">
        <v>45958.580011574071</v>
      </c>
      <c r="F311" s="134" t="s">
        <v>115</v>
      </c>
      <c r="G311">
        <v>4069518512890</v>
      </c>
      <c r="H311" s="134" t="s">
        <v>1507</v>
      </c>
      <c r="I311" s="134" t="s">
        <v>116</v>
      </c>
      <c r="J311">
        <v>0</v>
      </c>
      <c r="K311">
        <v>0</v>
      </c>
    </row>
    <row r="312" spans="1:11" x14ac:dyDescent="0.2">
      <c r="A312" s="165">
        <v>45899.975648148145</v>
      </c>
      <c r="B312" s="134" t="s">
        <v>1508</v>
      </c>
      <c r="C312" s="134" t="s">
        <v>1509</v>
      </c>
      <c r="D312" s="165">
        <v>45909.191018518519</v>
      </c>
      <c r="E312" s="165">
        <v>45939.080127314817</v>
      </c>
      <c r="F312" s="134" t="s">
        <v>1510</v>
      </c>
      <c r="G312">
        <v>4069518141465</v>
      </c>
      <c r="H312" s="134" t="s">
        <v>1511</v>
      </c>
      <c r="I312" s="134" t="s">
        <v>212</v>
      </c>
      <c r="J312">
        <v>1</v>
      </c>
      <c r="K312">
        <v>0</v>
      </c>
    </row>
    <row r="313" spans="1:11" x14ac:dyDescent="0.2">
      <c r="A313" s="165">
        <v>45899.69290509259</v>
      </c>
      <c r="B313" s="134" t="s">
        <v>1512</v>
      </c>
      <c r="C313" s="134" t="s">
        <v>1513</v>
      </c>
      <c r="D313" s="165">
        <v>45908.232719907406</v>
      </c>
      <c r="E313" s="165">
        <v>45944.639016203706</v>
      </c>
      <c r="F313" s="134" t="s">
        <v>456</v>
      </c>
      <c r="G313">
        <v>4069518406038</v>
      </c>
      <c r="H313" s="134" t="s">
        <v>1514</v>
      </c>
      <c r="I313" s="134" t="s">
        <v>309</v>
      </c>
      <c r="J313">
        <v>0</v>
      </c>
      <c r="K313">
        <v>0</v>
      </c>
    </row>
    <row r="314" spans="1:11" x14ac:dyDescent="0.2">
      <c r="A314" s="165">
        <v>45899.69290509259</v>
      </c>
      <c r="B314" s="134" t="s">
        <v>1512</v>
      </c>
      <c r="C314" s="134" t="s">
        <v>1513</v>
      </c>
      <c r="D314" s="165">
        <v>45908.232719907406</v>
      </c>
      <c r="E314" s="165">
        <v>45944.639016203706</v>
      </c>
      <c r="F314" s="134" t="s">
        <v>456</v>
      </c>
      <c r="G314">
        <v>4069518406038</v>
      </c>
      <c r="H314" s="134" t="s">
        <v>1514</v>
      </c>
      <c r="I314" s="134" t="s">
        <v>309</v>
      </c>
      <c r="J314">
        <v>0</v>
      </c>
      <c r="K314">
        <v>0</v>
      </c>
    </row>
    <row r="315" spans="1:11" x14ac:dyDescent="0.2">
      <c r="A315" s="165">
        <v>45899.528819444444</v>
      </c>
      <c r="B315" s="134" t="s">
        <v>1515</v>
      </c>
      <c r="C315" s="134" t="s">
        <v>1516</v>
      </c>
      <c r="D315" s="165">
        <v>45906.304884259262</v>
      </c>
      <c r="E315" s="165">
        <v>45939.080127314817</v>
      </c>
      <c r="F315" s="134" t="s">
        <v>1517</v>
      </c>
      <c r="G315">
        <v>4069518255988</v>
      </c>
      <c r="H315" s="134" t="s">
        <v>1518</v>
      </c>
      <c r="I315" s="134" t="s">
        <v>237</v>
      </c>
      <c r="J315">
        <v>1</v>
      </c>
      <c r="K315">
        <v>0</v>
      </c>
    </row>
    <row r="316" spans="1:11" x14ac:dyDescent="0.2">
      <c r="A316" s="165">
        <v>45898.719421296293</v>
      </c>
      <c r="B316" s="134" t="s">
        <v>431</v>
      </c>
      <c r="C316" s="134" t="s">
        <v>431</v>
      </c>
      <c r="D316" s="165">
        <v>45908.999988425923</v>
      </c>
      <c r="E316" s="165">
        <v>45898.805636574078</v>
      </c>
      <c r="F316" s="134" t="s">
        <v>494</v>
      </c>
      <c r="G316">
        <v>4069518106389</v>
      </c>
      <c r="H316" s="134" t="s">
        <v>1519</v>
      </c>
      <c r="I316" s="134" t="s">
        <v>202</v>
      </c>
      <c r="J316">
        <v>0</v>
      </c>
      <c r="K316">
        <v>0</v>
      </c>
    </row>
    <row r="317" spans="1:11" x14ac:dyDescent="0.2">
      <c r="A317" s="165">
        <v>45897.843611111108</v>
      </c>
      <c r="B317" s="134" t="s">
        <v>1520</v>
      </c>
      <c r="C317" s="134" t="s">
        <v>1521</v>
      </c>
      <c r="D317" s="165">
        <v>45913.126423611109</v>
      </c>
      <c r="E317" s="165">
        <v>46051.444560185184</v>
      </c>
      <c r="F317" s="134" t="s">
        <v>1522</v>
      </c>
      <c r="G317">
        <v>4069518473429</v>
      </c>
      <c r="H317" s="134" t="s">
        <v>1523</v>
      </c>
      <c r="I317" s="134" t="s">
        <v>377</v>
      </c>
      <c r="J317">
        <v>0</v>
      </c>
      <c r="K317">
        <v>0</v>
      </c>
    </row>
    <row r="318" spans="1:11" x14ac:dyDescent="0.2">
      <c r="A318" s="165">
        <v>45895.417245370372</v>
      </c>
      <c r="B318" s="134" t="s">
        <v>1512</v>
      </c>
      <c r="C318" s="134" t="s">
        <v>1524</v>
      </c>
      <c r="D318" s="165">
        <v>45908.232719907406</v>
      </c>
      <c r="E318" s="165">
        <v>45947.465416666666</v>
      </c>
      <c r="F318" s="134" t="s">
        <v>97</v>
      </c>
      <c r="G318">
        <v>4069518471364</v>
      </c>
      <c r="H318" s="134" t="s">
        <v>1525</v>
      </c>
      <c r="I318" s="134" t="s">
        <v>98</v>
      </c>
      <c r="J318">
        <v>1</v>
      </c>
      <c r="K318">
        <v>0</v>
      </c>
    </row>
    <row r="319" spans="1:11" x14ac:dyDescent="0.2">
      <c r="A319" s="165">
        <v>45895.400543981479</v>
      </c>
      <c r="B319" s="134" t="s">
        <v>1526</v>
      </c>
      <c r="C319" s="134" t="s">
        <v>1527</v>
      </c>
      <c r="D319" s="165">
        <v>45910.777175925927</v>
      </c>
      <c r="E319" s="165">
        <v>46051.444560185184</v>
      </c>
      <c r="F319" s="134" t="s">
        <v>1195</v>
      </c>
      <c r="G319">
        <v>4069518390337</v>
      </c>
      <c r="H319" s="134" t="s">
        <v>1528</v>
      </c>
      <c r="I319" s="134" t="s">
        <v>301</v>
      </c>
      <c r="J319">
        <v>1</v>
      </c>
      <c r="K319">
        <v>0</v>
      </c>
    </row>
    <row r="320" spans="1:11" x14ac:dyDescent="0.2">
      <c r="A320" s="165">
        <v>45893.776516203703</v>
      </c>
      <c r="B320" s="134" t="s">
        <v>1529</v>
      </c>
      <c r="C320" s="134" t="s">
        <v>1530</v>
      </c>
      <c r="D320" s="165">
        <v>45908.232708333337</v>
      </c>
      <c r="E320" s="165">
        <v>45940.618113425924</v>
      </c>
      <c r="F320" s="134" t="s">
        <v>1531</v>
      </c>
      <c r="G320">
        <v>4069518469866</v>
      </c>
      <c r="H320" s="134" t="s">
        <v>1532</v>
      </c>
      <c r="I320" s="134" t="s">
        <v>1533</v>
      </c>
      <c r="J320">
        <v>0</v>
      </c>
      <c r="K320">
        <v>0</v>
      </c>
    </row>
    <row r="321" spans="1:11" x14ac:dyDescent="0.2">
      <c r="A321" s="165">
        <v>45893.735266203701</v>
      </c>
      <c r="B321" s="134" t="s">
        <v>1512</v>
      </c>
      <c r="C321" s="134" t="s">
        <v>1534</v>
      </c>
      <c r="D321" s="165">
        <v>45908.232719907406</v>
      </c>
      <c r="E321" s="165">
        <v>45945.080023148148</v>
      </c>
      <c r="F321" s="134" t="s">
        <v>1535</v>
      </c>
      <c r="G321">
        <v>4069518467671</v>
      </c>
      <c r="H321" s="134" t="s">
        <v>1536</v>
      </c>
      <c r="I321" s="134" t="s">
        <v>345</v>
      </c>
      <c r="J321">
        <v>0</v>
      </c>
      <c r="K321">
        <v>0</v>
      </c>
    </row>
    <row r="322" spans="1:11" x14ac:dyDescent="0.2">
      <c r="A322" s="165">
        <v>45893.477106481485</v>
      </c>
      <c r="B322" s="134" t="s">
        <v>1537</v>
      </c>
      <c r="C322" s="134" t="s">
        <v>1538</v>
      </c>
      <c r="D322" s="165">
        <v>45905.242384259262</v>
      </c>
      <c r="E322" s="165">
        <v>45934.080104166664</v>
      </c>
      <c r="F322" s="134" t="s">
        <v>1539</v>
      </c>
      <c r="G322">
        <v>741575679207</v>
      </c>
      <c r="H322" s="134" t="s">
        <v>1540</v>
      </c>
      <c r="I322" s="134" t="s">
        <v>144</v>
      </c>
      <c r="J322">
        <v>0</v>
      </c>
      <c r="K322">
        <v>0</v>
      </c>
    </row>
    <row r="323" spans="1:11" x14ac:dyDescent="0.2">
      <c r="A323" s="165">
        <v>45893.070601851854</v>
      </c>
      <c r="B323" s="134" t="s">
        <v>1541</v>
      </c>
      <c r="C323" s="134" t="s">
        <v>1542</v>
      </c>
      <c r="D323" s="165">
        <v>45908.233391203707</v>
      </c>
      <c r="E323" s="165">
        <v>45939.097361111111</v>
      </c>
      <c r="F323" s="134" t="s">
        <v>1543</v>
      </c>
      <c r="G323">
        <v>4069518389959</v>
      </c>
      <c r="H323" s="134" t="s">
        <v>1544</v>
      </c>
      <c r="I323" s="134" t="s">
        <v>300</v>
      </c>
      <c r="J323">
        <v>1</v>
      </c>
      <c r="K323">
        <v>0</v>
      </c>
    </row>
    <row r="324" spans="1:11" x14ac:dyDescent="0.2">
      <c r="A324" s="165">
        <v>45892.583356481482</v>
      </c>
      <c r="B324" s="134" t="s">
        <v>1545</v>
      </c>
      <c r="C324" s="134" t="s">
        <v>1546</v>
      </c>
      <c r="D324" s="165">
        <v>45901.445196759261</v>
      </c>
      <c r="E324" s="165">
        <v>45929.080034722225</v>
      </c>
      <c r="F324" s="134" t="s">
        <v>1547</v>
      </c>
      <c r="G324">
        <v>741575681507</v>
      </c>
      <c r="H324" s="134" t="s">
        <v>1548</v>
      </c>
      <c r="I324" s="134" t="s">
        <v>1549</v>
      </c>
      <c r="J324">
        <v>1</v>
      </c>
      <c r="K324">
        <v>0</v>
      </c>
    </row>
    <row r="325" spans="1:11" x14ac:dyDescent="0.2">
      <c r="A325" s="165">
        <v>45892.47755787037</v>
      </c>
      <c r="B325" s="134" t="s">
        <v>1545</v>
      </c>
      <c r="C325" s="134" t="s">
        <v>1550</v>
      </c>
      <c r="D325" s="165">
        <v>45901.445196759261</v>
      </c>
      <c r="E325" s="165">
        <v>45929.080034722225</v>
      </c>
      <c r="F325" s="134" t="s">
        <v>1446</v>
      </c>
      <c r="G325">
        <v>741575679184</v>
      </c>
      <c r="H325" s="134" t="s">
        <v>1551</v>
      </c>
      <c r="I325" s="134" t="s">
        <v>143</v>
      </c>
      <c r="J325">
        <v>0</v>
      </c>
      <c r="K325">
        <v>0</v>
      </c>
    </row>
    <row r="326" spans="1:11" x14ac:dyDescent="0.2">
      <c r="A326" s="165">
        <v>45891.829085648147</v>
      </c>
      <c r="B326" s="134" t="s">
        <v>1545</v>
      </c>
      <c r="C326" s="134" t="s">
        <v>1552</v>
      </c>
      <c r="D326" s="165">
        <v>45901.445196759261</v>
      </c>
      <c r="E326" s="165">
        <v>45932.080011574071</v>
      </c>
      <c r="F326" s="134" t="s">
        <v>1517</v>
      </c>
      <c r="G326">
        <v>4069518255988</v>
      </c>
      <c r="H326" s="134" t="s">
        <v>1553</v>
      </c>
      <c r="I326" s="134" t="s">
        <v>237</v>
      </c>
      <c r="J326">
        <v>1</v>
      </c>
      <c r="K326">
        <v>0</v>
      </c>
    </row>
    <row r="327" spans="1:11" x14ac:dyDescent="0.2">
      <c r="A327" s="165">
        <v>45891.691527777781</v>
      </c>
      <c r="B327" s="134" t="s">
        <v>1541</v>
      </c>
      <c r="C327" s="134" t="s">
        <v>1554</v>
      </c>
      <c r="D327" s="165">
        <v>45908.233391203707</v>
      </c>
      <c r="E327" s="165">
        <v>45937.080034722225</v>
      </c>
      <c r="F327" s="134" t="s">
        <v>1555</v>
      </c>
      <c r="G327">
        <v>4069518472781</v>
      </c>
      <c r="H327" s="134" t="s">
        <v>1556</v>
      </c>
      <c r="I327" s="134" t="s">
        <v>374</v>
      </c>
      <c r="J327">
        <v>0</v>
      </c>
      <c r="K327">
        <v>0</v>
      </c>
    </row>
    <row r="328" spans="1:11" x14ac:dyDescent="0.2">
      <c r="A328" s="165">
        <v>45891.627592592595</v>
      </c>
      <c r="B328" s="134" t="s">
        <v>1557</v>
      </c>
      <c r="C328" s="134" t="s">
        <v>1558</v>
      </c>
      <c r="D328" s="165">
        <v>45902.062604166669</v>
      </c>
      <c r="E328" s="165">
        <v>45934.080011574071</v>
      </c>
      <c r="F328" s="134" t="s">
        <v>95</v>
      </c>
      <c r="G328">
        <v>4069518470787</v>
      </c>
      <c r="H328" s="134" t="s">
        <v>1559</v>
      </c>
      <c r="I328" s="134" t="s">
        <v>96</v>
      </c>
      <c r="J328">
        <v>0</v>
      </c>
      <c r="K328">
        <v>0</v>
      </c>
    </row>
    <row r="329" spans="1:11" x14ac:dyDescent="0.2">
      <c r="A329" s="165">
        <v>45891.453460648147</v>
      </c>
      <c r="B329" s="134" t="s">
        <v>1560</v>
      </c>
      <c r="C329" s="134" t="s">
        <v>1561</v>
      </c>
      <c r="D329" s="165">
        <v>45901.445891203701</v>
      </c>
      <c r="E329" s="165">
        <v>45929.080092592594</v>
      </c>
      <c r="F329" s="134" t="s">
        <v>1562</v>
      </c>
      <c r="G329">
        <v>4069518466117</v>
      </c>
      <c r="H329" s="134" t="s">
        <v>1563</v>
      </c>
      <c r="I329" s="134" t="s">
        <v>339</v>
      </c>
      <c r="J329">
        <v>0</v>
      </c>
      <c r="K329">
        <v>0</v>
      </c>
    </row>
    <row r="330" spans="1:11" x14ac:dyDescent="0.2">
      <c r="A330" s="165">
        <v>45891.339467592596</v>
      </c>
      <c r="B330" s="134" t="s">
        <v>1564</v>
      </c>
      <c r="C330" s="134" t="s">
        <v>1565</v>
      </c>
      <c r="D330" s="165">
        <v>45901.390300925923</v>
      </c>
      <c r="E330" s="165">
        <v>45930.079976851855</v>
      </c>
      <c r="F330" s="134" t="s">
        <v>1566</v>
      </c>
      <c r="G330">
        <v>4069518257159</v>
      </c>
      <c r="H330" s="134" t="s">
        <v>1567</v>
      </c>
      <c r="I330" s="134" t="s">
        <v>1568</v>
      </c>
      <c r="J330">
        <v>1</v>
      </c>
      <c r="K330">
        <v>0</v>
      </c>
    </row>
    <row r="331" spans="1:11" x14ac:dyDescent="0.2">
      <c r="A331" s="165">
        <v>45890.556354166663</v>
      </c>
      <c r="B331" s="134" t="s">
        <v>431</v>
      </c>
      <c r="C331" s="134" t="s">
        <v>1569</v>
      </c>
      <c r="D331" s="165">
        <v>45899.999988425923</v>
      </c>
      <c r="E331" s="165">
        <v>45903.555659722224</v>
      </c>
      <c r="F331" s="134" t="s">
        <v>99</v>
      </c>
      <c r="G331">
        <v>4069518507278</v>
      </c>
      <c r="H331" s="134" t="s">
        <v>1570</v>
      </c>
      <c r="I331" s="134" t="s">
        <v>100</v>
      </c>
      <c r="J331">
        <v>0</v>
      </c>
      <c r="K331">
        <v>0</v>
      </c>
    </row>
    <row r="332" spans="1:11" x14ac:dyDescent="0.2">
      <c r="A332" s="165">
        <v>45890.448321759257</v>
      </c>
      <c r="B332" s="134" t="s">
        <v>1571</v>
      </c>
      <c r="C332" s="134" t="s">
        <v>1572</v>
      </c>
      <c r="D332" s="165">
        <v>45899.15697916667</v>
      </c>
      <c r="E332" s="165">
        <v>45929.080034722225</v>
      </c>
      <c r="F332" s="134" t="s">
        <v>1573</v>
      </c>
      <c r="G332">
        <v>4069518479568</v>
      </c>
      <c r="H332" s="134" t="s">
        <v>1574</v>
      </c>
      <c r="I332" s="134" t="s">
        <v>389</v>
      </c>
      <c r="J332">
        <v>0</v>
      </c>
      <c r="K332">
        <v>0</v>
      </c>
    </row>
    <row r="333" spans="1:11" x14ac:dyDescent="0.2">
      <c r="A333" s="165">
        <v>45889.763310185182</v>
      </c>
      <c r="B333" s="134" t="s">
        <v>1575</v>
      </c>
      <c r="C333" s="134" t="s">
        <v>1576</v>
      </c>
      <c r="D333" s="165">
        <v>45909.097326388888</v>
      </c>
      <c r="E333" s="165">
        <v>45958.580011574071</v>
      </c>
      <c r="F333" s="134" t="s">
        <v>1577</v>
      </c>
      <c r="G333">
        <v>4069518310205</v>
      </c>
      <c r="H333" s="134" t="s">
        <v>1578</v>
      </c>
      <c r="I333" s="134" t="s">
        <v>273</v>
      </c>
      <c r="J333">
        <v>0</v>
      </c>
      <c r="K333">
        <v>0</v>
      </c>
    </row>
    <row r="334" spans="1:11" x14ac:dyDescent="0.2">
      <c r="A334" s="165">
        <v>45889.756493055553</v>
      </c>
      <c r="B334" s="134" t="s">
        <v>1579</v>
      </c>
      <c r="C334" s="134" t="s">
        <v>1580</v>
      </c>
      <c r="D334" s="165">
        <v>45909.090451388889</v>
      </c>
      <c r="E334" s="165">
        <v>46044.382060185184</v>
      </c>
      <c r="F334" s="134" t="s">
        <v>881</v>
      </c>
      <c r="G334">
        <v>4069518506592</v>
      </c>
      <c r="H334" s="134" t="s">
        <v>1581</v>
      </c>
      <c r="I334" s="134" t="s">
        <v>391</v>
      </c>
      <c r="J334">
        <v>0</v>
      </c>
      <c r="K334">
        <v>0</v>
      </c>
    </row>
    <row r="335" spans="1:11" x14ac:dyDescent="0.2">
      <c r="A335" s="165">
        <v>45889.252233796295</v>
      </c>
      <c r="B335" s="134" t="s">
        <v>1582</v>
      </c>
      <c r="C335" s="134" t="s">
        <v>1583</v>
      </c>
      <c r="D335" s="165">
        <v>45908.940335648149</v>
      </c>
      <c r="E335" s="165">
        <v>45936.080034722225</v>
      </c>
      <c r="F335" s="134" t="s">
        <v>101</v>
      </c>
      <c r="G335">
        <v>4069518510858</v>
      </c>
      <c r="H335" s="134" t="s">
        <v>1584</v>
      </c>
      <c r="I335" s="134" t="s">
        <v>102</v>
      </c>
      <c r="J335">
        <v>0</v>
      </c>
      <c r="K335">
        <v>0</v>
      </c>
    </row>
    <row r="336" spans="1:11" x14ac:dyDescent="0.2">
      <c r="A336" s="165">
        <v>45888.962326388886</v>
      </c>
      <c r="B336" s="134" t="s">
        <v>1585</v>
      </c>
      <c r="C336" s="134" t="s">
        <v>1586</v>
      </c>
      <c r="D336" s="165">
        <v>45898.212534722225</v>
      </c>
      <c r="E336" s="165">
        <v>45927.080127314817</v>
      </c>
      <c r="F336" s="134" t="s">
        <v>810</v>
      </c>
      <c r="G336">
        <v>4069518236192</v>
      </c>
      <c r="H336" s="134" t="s">
        <v>1587</v>
      </c>
      <c r="I336" s="134" t="s">
        <v>812</v>
      </c>
      <c r="J336">
        <v>1</v>
      </c>
      <c r="K336">
        <v>0</v>
      </c>
    </row>
    <row r="337" spans="1:11" x14ac:dyDescent="0.2">
      <c r="A337" s="165">
        <v>45887.941053240742</v>
      </c>
      <c r="B337" s="134" t="s">
        <v>1588</v>
      </c>
      <c r="C337" s="134" t="s">
        <v>1589</v>
      </c>
      <c r="D337" s="165">
        <v>45895.247291666667</v>
      </c>
      <c r="E337" s="165">
        <v>45926.080208333333</v>
      </c>
      <c r="F337" s="134" t="s">
        <v>1590</v>
      </c>
      <c r="G337">
        <v>741575677906</v>
      </c>
      <c r="H337" s="134" t="s">
        <v>1591</v>
      </c>
      <c r="I337" s="134" t="s">
        <v>138</v>
      </c>
      <c r="J337">
        <v>0</v>
      </c>
      <c r="K337">
        <v>0</v>
      </c>
    </row>
    <row r="338" spans="1:11" x14ac:dyDescent="0.2">
      <c r="A338" s="165">
        <v>45887.899224537039</v>
      </c>
      <c r="B338" s="134" t="s">
        <v>1592</v>
      </c>
      <c r="C338" s="134" t="s">
        <v>1593</v>
      </c>
      <c r="D338" s="165">
        <v>45899.097986111112</v>
      </c>
      <c r="E338" s="165">
        <v>45927.080127314817</v>
      </c>
      <c r="F338" s="134" t="s">
        <v>1594</v>
      </c>
      <c r="G338">
        <v>4069518471494</v>
      </c>
      <c r="H338" s="134" t="s">
        <v>1595</v>
      </c>
      <c r="I338" s="134" t="s">
        <v>367</v>
      </c>
      <c r="J338">
        <v>1</v>
      </c>
      <c r="K338">
        <v>0</v>
      </c>
    </row>
    <row r="339" spans="1:11" x14ac:dyDescent="0.2">
      <c r="A339" s="165">
        <v>45887.566805555558</v>
      </c>
      <c r="B339" s="134" t="s">
        <v>1596</v>
      </c>
      <c r="C339" s="134" t="s">
        <v>1597</v>
      </c>
      <c r="D339" s="165">
        <v>45899.097337962965</v>
      </c>
      <c r="E339" s="165">
        <v>45927.080127314817</v>
      </c>
      <c r="F339" s="134" t="s">
        <v>107</v>
      </c>
      <c r="G339">
        <v>4069518407530</v>
      </c>
      <c r="H339" s="134" t="s">
        <v>1598</v>
      </c>
      <c r="I339" s="134" t="s">
        <v>108</v>
      </c>
      <c r="J339">
        <v>0</v>
      </c>
      <c r="K339">
        <v>0</v>
      </c>
    </row>
    <row r="340" spans="1:11" x14ac:dyDescent="0.2">
      <c r="A340" s="165">
        <v>45887.329131944447</v>
      </c>
      <c r="B340" s="134" t="s">
        <v>1599</v>
      </c>
      <c r="C340" s="134" t="s">
        <v>1600</v>
      </c>
      <c r="D340" s="165">
        <v>45897.295162037037</v>
      </c>
      <c r="E340" s="165">
        <v>45927.080057870371</v>
      </c>
      <c r="F340" s="134" t="s">
        <v>1601</v>
      </c>
      <c r="G340">
        <v>4069518467732</v>
      </c>
      <c r="H340" s="134" t="s">
        <v>1602</v>
      </c>
      <c r="I340" s="134" t="s">
        <v>346</v>
      </c>
      <c r="J340">
        <v>0</v>
      </c>
      <c r="K340">
        <v>0</v>
      </c>
    </row>
    <row r="341" spans="1:11" x14ac:dyDescent="0.2">
      <c r="A341" s="165">
        <v>45886.737615740742</v>
      </c>
      <c r="B341" s="134" t="s">
        <v>1592</v>
      </c>
      <c r="C341" s="134" t="s">
        <v>1603</v>
      </c>
      <c r="D341" s="165">
        <v>45899.097986111112</v>
      </c>
      <c r="E341" s="165">
        <v>45927.080127314817</v>
      </c>
      <c r="F341" s="134" t="s">
        <v>105</v>
      </c>
      <c r="G341">
        <v>4069518471487</v>
      </c>
      <c r="H341" s="134" t="s">
        <v>1604</v>
      </c>
      <c r="I341" s="134" t="s">
        <v>106</v>
      </c>
      <c r="J341">
        <v>0</v>
      </c>
      <c r="K341">
        <v>0</v>
      </c>
    </row>
    <row r="342" spans="1:11" x14ac:dyDescent="0.2">
      <c r="A342" s="165">
        <v>45886.704930555556</v>
      </c>
      <c r="B342" s="134" t="s">
        <v>1605</v>
      </c>
      <c r="C342" s="134" t="s">
        <v>1606</v>
      </c>
      <c r="D342" s="165">
        <v>45899.097997685189</v>
      </c>
      <c r="E342" s="165">
        <v>45927.080127314817</v>
      </c>
      <c r="F342" s="134" t="s">
        <v>1607</v>
      </c>
      <c r="G342">
        <v>4069518471197</v>
      </c>
      <c r="H342" s="134" t="s">
        <v>1608</v>
      </c>
      <c r="I342" s="134" t="s">
        <v>363</v>
      </c>
      <c r="J342">
        <v>0</v>
      </c>
      <c r="K342">
        <v>0</v>
      </c>
    </row>
    <row r="343" spans="1:11" x14ac:dyDescent="0.2">
      <c r="A343" s="165">
        <v>45885.486018518517</v>
      </c>
      <c r="B343" s="134" t="s">
        <v>1609</v>
      </c>
      <c r="C343" s="134" t="s">
        <v>1610</v>
      </c>
      <c r="D343" s="165">
        <v>45894.312523148146</v>
      </c>
      <c r="E343" s="165">
        <v>45922.08011574074</v>
      </c>
      <c r="F343" s="134" t="s">
        <v>1539</v>
      </c>
      <c r="G343">
        <v>741575679207</v>
      </c>
      <c r="H343" s="134" t="s">
        <v>1611</v>
      </c>
      <c r="I343" s="134" t="s">
        <v>144</v>
      </c>
      <c r="J343">
        <v>0</v>
      </c>
      <c r="K343">
        <v>0</v>
      </c>
    </row>
    <row r="344" spans="1:11" x14ac:dyDescent="0.2">
      <c r="A344" s="165">
        <v>45885.44908564815</v>
      </c>
      <c r="B344" s="134" t="s">
        <v>1612</v>
      </c>
      <c r="C344" s="134" t="s">
        <v>1613</v>
      </c>
      <c r="D344" s="165">
        <v>45898.149386574078</v>
      </c>
      <c r="E344" s="165">
        <v>45926.080208333333</v>
      </c>
      <c r="F344" s="134" t="s">
        <v>1614</v>
      </c>
      <c r="G344">
        <v>4069518511541</v>
      </c>
      <c r="H344" s="134" t="s">
        <v>1615</v>
      </c>
      <c r="I344" s="134" t="s">
        <v>405</v>
      </c>
      <c r="J344">
        <v>0</v>
      </c>
      <c r="K344">
        <v>0</v>
      </c>
    </row>
    <row r="345" spans="1:11" x14ac:dyDescent="0.2">
      <c r="A345" s="165">
        <v>45883.69222222222</v>
      </c>
      <c r="B345" s="134" t="s">
        <v>1616</v>
      </c>
      <c r="C345" s="134" t="s">
        <v>1617</v>
      </c>
      <c r="D345" s="165">
        <v>45894.328541666669</v>
      </c>
      <c r="E345" s="165">
        <v>45901.441064814811</v>
      </c>
      <c r="F345" s="134" t="s">
        <v>1618</v>
      </c>
      <c r="G345">
        <v>741575679474</v>
      </c>
      <c r="H345" s="134" t="s">
        <v>1619</v>
      </c>
      <c r="I345" s="134" t="s">
        <v>145</v>
      </c>
      <c r="J345">
        <v>0</v>
      </c>
      <c r="K345">
        <v>0</v>
      </c>
    </row>
    <row r="346" spans="1:11" x14ac:dyDescent="0.2">
      <c r="A346" s="165">
        <v>45879.860358796293</v>
      </c>
      <c r="B346" s="134" t="s">
        <v>1620</v>
      </c>
      <c r="C346" s="134" t="s">
        <v>1621</v>
      </c>
      <c r="D346" s="165">
        <v>45888.288946759261</v>
      </c>
      <c r="E346" s="165">
        <v>45916.080046296294</v>
      </c>
      <c r="F346" s="134" t="s">
        <v>1517</v>
      </c>
      <c r="G346">
        <v>4069518255988</v>
      </c>
      <c r="H346" s="134" t="s">
        <v>1622</v>
      </c>
      <c r="I346" s="134" t="s">
        <v>237</v>
      </c>
      <c r="J346">
        <v>1</v>
      </c>
      <c r="K346">
        <v>0</v>
      </c>
    </row>
    <row r="347" spans="1:11" x14ac:dyDescent="0.2">
      <c r="A347" s="165">
        <v>45878.702141203707</v>
      </c>
      <c r="B347" s="134" t="s">
        <v>1623</v>
      </c>
      <c r="C347" s="134" t="s">
        <v>1624</v>
      </c>
      <c r="D347" s="165">
        <v>45884.313923611109</v>
      </c>
      <c r="E347" s="165">
        <v>45913.080057870371</v>
      </c>
      <c r="F347" s="134" t="s">
        <v>1625</v>
      </c>
      <c r="G347">
        <v>4069518020975</v>
      </c>
      <c r="H347" s="134" t="s">
        <v>1626</v>
      </c>
      <c r="I347" s="134" t="s">
        <v>189</v>
      </c>
      <c r="J347">
        <v>1</v>
      </c>
      <c r="K347">
        <v>0</v>
      </c>
    </row>
    <row r="348" spans="1:11" x14ac:dyDescent="0.2">
      <c r="A348" s="165">
        <v>45877.919687499998</v>
      </c>
      <c r="B348" s="134" t="s">
        <v>1627</v>
      </c>
      <c r="C348" s="134" t="s">
        <v>1628</v>
      </c>
      <c r="D348" s="165">
        <v>45884.313252314816</v>
      </c>
      <c r="E348" s="165">
        <v>45913.080127314817</v>
      </c>
      <c r="F348" s="134" t="s">
        <v>1629</v>
      </c>
      <c r="G348">
        <v>4069518308004</v>
      </c>
      <c r="H348" s="134" t="s">
        <v>1630</v>
      </c>
      <c r="I348" s="134" t="s">
        <v>269</v>
      </c>
      <c r="J348">
        <v>0</v>
      </c>
      <c r="K348">
        <v>0</v>
      </c>
    </row>
    <row r="349" spans="1:11" x14ac:dyDescent="0.2">
      <c r="A349" s="165">
        <v>45877.475162037037</v>
      </c>
      <c r="B349" s="134" t="s">
        <v>1631</v>
      </c>
      <c r="C349" s="134" t="s">
        <v>1632</v>
      </c>
      <c r="D349" s="165">
        <v>45885.303541666668</v>
      </c>
      <c r="E349" s="165">
        <v>45914.080069444448</v>
      </c>
      <c r="F349" s="134" t="s">
        <v>1633</v>
      </c>
      <c r="G349">
        <v>4069518260234</v>
      </c>
      <c r="H349" s="134" t="s">
        <v>1634</v>
      </c>
      <c r="I349" s="134" t="s">
        <v>255</v>
      </c>
      <c r="J349">
        <v>0</v>
      </c>
      <c r="K349">
        <v>0</v>
      </c>
    </row>
    <row r="350" spans="1:11" x14ac:dyDescent="0.2">
      <c r="A350" s="165">
        <v>45876.422175925924</v>
      </c>
      <c r="B350" s="134" t="s">
        <v>1635</v>
      </c>
      <c r="C350" s="134" t="s">
        <v>1636</v>
      </c>
      <c r="D350" s="165">
        <v>45896.908842592595</v>
      </c>
      <c r="E350" s="165">
        <v>45905.482766203706</v>
      </c>
      <c r="F350" s="134" t="s">
        <v>1637</v>
      </c>
      <c r="G350">
        <v>4069518376393</v>
      </c>
      <c r="H350" s="134" t="s">
        <v>1638</v>
      </c>
      <c r="I350" s="134" t="s">
        <v>285</v>
      </c>
      <c r="J350">
        <v>0</v>
      </c>
      <c r="K350">
        <v>0</v>
      </c>
    </row>
    <row r="351" spans="1:11" x14ac:dyDescent="0.2">
      <c r="A351" s="165">
        <v>45875.614988425928</v>
      </c>
      <c r="B351" s="134" t="s">
        <v>1627</v>
      </c>
      <c r="C351" s="134" t="s">
        <v>1639</v>
      </c>
      <c r="D351" s="165">
        <v>45884.313252314816</v>
      </c>
      <c r="E351" s="165">
        <v>45913.080127314817</v>
      </c>
      <c r="F351" s="134" t="s">
        <v>596</v>
      </c>
      <c r="G351">
        <v>4069518382950</v>
      </c>
      <c r="H351" s="134" t="s">
        <v>1640</v>
      </c>
      <c r="I351" s="134" t="s">
        <v>293</v>
      </c>
      <c r="J351">
        <v>0</v>
      </c>
      <c r="K351">
        <v>0</v>
      </c>
    </row>
    <row r="352" spans="1:11" x14ac:dyDescent="0.2">
      <c r="A352" s="165">
        <v>45874.689722222225</v>
      </c>
      <c r="B352" s="134" t="s">
        <v>1641</v>
      </c>
      <c r="C352" s="134" t="s">
        <v>1642</v>
      </c>
      <c r="D352" s="165">
        <v>45883.147268518522</v>
      </c>
      <c r="E352" s="165">
        <v>45914.080069444448</v>
      </c>
      <c r="F352" s="134" t="s">
        <v>1643</v>
      </c>
      <c r="G352">
        <v>741575678484</v>
      </c>
      <c r="H352" s="134" t="s">
        <v>1644</v>
      </c>
      <c r="I352" s="134" t="s">
        <v>140</v>
      </c>
      <c r="J352">
        <v>1</v>
      </c>
      <c r="K352">
        <v>0</v>
      </c>
    </row>
    <row r="353" spans="1:11" x14ac:dyDescent="0.2">
      <c r="A353" s="165">
        <v>45873.902418981481</v>
      </c>
      <c r="B353" s="134" t="s">
        <v>1645</v>
      </c>
      <c r="C353" s="134" t="s">
        <v>1646</v>
      </c>
      <c r="D353" s="165">
        <v>45881.21601851852</v>
      </c>
      <c r="E353" s="165">
        <v>45912.080185185187</v>
      </c>
      <c r="F353" s="134" t="s">
        <v>1647</v>
      </c>
      <c r="G353">
        <v>4069518054536</v>
      </c>
      <c r="H353" s="134" t="s">
        <v>1648</v>
      </c>
      <c r="I353" s="134" t="s">
        <v>165</v>
      </c>
      <c r="J353">
        <v>0</v>
      </c>
      <c r="K353">
        <v>0</v>
      </c>
    </row>
    <row r="354" spans="1:11" x14ac:dyDescent="0.2">
      <c r="A354" s="165">
        <v>45872.838148148148</v>
      </c>
      <c r="B354" s="134" t="s">
        <v>1649</v>
      </c>
      <c r="C354" s="134" t="s">
        <v>1650</v>
      </c>
      <c r="D354" s="165">
        <v>45881.214641203704</v>
      </c>
      <c r="E354" s="165">
        <v>45912.080104166664</v>
      </c>
      <c r="F354" s="134" t="s">
        <v>1651</v>
      </c>
      <c r="G354">
        <v>741575679535</v>
      </c>
      <c r="H354" s="134" t="s">
        <v>1652</v>
      </c>
      <c r="I354" s="134" t="s">
        <v>146</v>
      </c>
      <c r="J354">
        <v>1</v>
      </c>
      <c r="K354">
        <v>0</v>
      </c>
    </row>
    <row r="355" spans="1:11" x14ac:dyDescent="0.2">
      <c r="A355" s="165">
        <v>45872.555601851855</v>
      </c>
      <c r="B355" s="134" t="s">
        <v>1653</v>
      </c>
      <c r="C355" s="134" t="s">
        <v>1654</v>
      </c>
      <c r="D355" s="165">
        <v>45881.206967592596</v>
      </c>
      <c r="E355" s="165">
        <v>45911.080011574071</v>
      </c>
      <c r="F355" s="134" t="s">
        <v>1655</v>
      </c>
      <c r="G355">
        <v>741575679153</v>
      </c>
      <c r="H355" s="134" t="s">
        <v>1656</v>
      </c>
      <c r="I355" s="134" t="s">
        <v>142</v>
      </c>
      <c r="J355">
        <v>0</v>
      </c>
      <c r="K355">
        <v>0</v>
      </c>
    </row>
    <row r="356" spans="1:11" x14ac:dyDescent="0.2">
      <c r="A356" s="165">
        <v>45871.913287037038</v>
      </c>
      <c r="B356" s="134" t="s">
        <v>1605</v>
      </c>
      <c r="C356" s="134" t="s">
        <v>1657</v>
      </c>
      <c r="D356" s="165">
        <v>45899.097997685189</v>
      </c>
      <c r="E356" s="165">
        <v>45927.080127314817</v>
      </c>
      <c r="F356" s="134" t="s">
        <v>1658</v>
      </c>
      <c r="G356">
        <v>4069518471777</v>
      </c>
      <c r="H356" s="134" t="s">
        <v>1659</v>
      </c>
      <c r="I356" s="134" t="s">
        <v>1660</v>
      </c>
      <c r="J356">
        <v>0</v>
      </c>
      <c r="K356">
        <v>0</v>
      </c>
    </row>
    <row r="357" spans="1:11" x14ac:dyDescent="0.2">
      <c r="A357" s="165">
        <v>45871.373923611114</v>
      </c>
      <c r="B357" s="134" t="s">
        <v>431</v>
      </c>
      <c r="C357" s="134" t="s">
        <v>431</v>
      </c>
      <c r="D357" s="165">
        <v>45880.999988425923</v>
      </c>
      <c r="E357" s="165">
        <v>45871.461921296293</v>
      </c>
      <c r="F357" s="134" t="s">
        <v>1661</v>
      </c>
      <c r="G357">
        <v>4069518410905</v>
      </c>
      <c r="H357" s="134" t="s">
        <v>1662</v>
      </c>
      <c r="I357" s="134" t="s">
        <v>314</v>
      </c>
      <c r="J357">
        <v>0</v>
      </c>
      <c r="K357">
        <v>0</v>
      </c>
    </row>
    <row r="358" spans="1:11" x14ac:dyDescent="0.2">
      <c r="A358" s="165">
        <v>45869.83315972222</v>
      </c>
      <c r="B358" s="134" t="s">
        <v>1605</v>
      </c>
      <c r="C358" s="134" t="s">
        <v>1663</v>
      </c>
      <c r="D358" s="165">
        <v>45899.097997685189</v>
      </c>
      <c r="E358" s="165">
        <v>45927.080127314817</v>
      </c>
      <c r="F358" s="134" t="s">
        <v>1664</v>
      </c>
      <c r="G358">
        <v>4069518466742</v>
      </c>
      <c r="H358" s="134" t="s">
        <v>1665</v>
      </c>
      <c r="I358" s="134" t="s">
        <v>344</v>
      </c>
      <c r="J358">
        <v>0</v>
      </c>
      <c r="K358">
        <v>0</v>
      </c>
    </row>
    <row r="359" spans="1:11" x14ac:dyDescent="0.2">
      <c r="A359" s="165">
        <v>45868.859652777777</v>
      </c>
      <c r="B359" s="134" t="s">
        <v>1666</v>
      </c>
      <c r="C359" s="134" t="s">
        <v>1667</v>
      </c>
      <c r="D359" s="165">
        <v>45880.213935185187</v>
      </c>
      <c r="E359" s="165">
        <v>45908.080081018517</v>
      </c>
      <c r="F359" s="134" t="s">
        <v>1668</v>
      </c>
      <c r="G359">
        <v>4069518065785</v>
      </c>
      <c r="H359" s="134" t="s">
        <v>1669</v>
      </c>
      <c r="I359" s="134" t="s">
        <v>184</v>
      </c>
      <c r="J359">
        <v>1</v>
      </c>
      <c r="K359">
        <v>0</v>
      </c>
    </row>
    <row r="360" spans="1:11" x14ac:dyDescent="0.2">
      <c r="A360" s="165">
        <v>45868.819444444445</v>
      </c>
      <c r="B360" s="134" t="s">
        <v>1670</v>
      </c>
      <c r="C360" s="134" t="s">
        <v>1671</v>
      </c>
      <c r="D360" s="165">
        <v>45878.315995370373</v>
      </c>
      <c r="E360" s="165">
        <v>45914.08011574074</v>
      </c>
      <c r="F360" s="134" t="s">
        <v>1517</v>
      </c>
      <c r="G360">
        <v>4069518255988</v>
      </c>
      <c r="H360" s="134" t="s">
        <v>1672</v>
      </c>
      <c r="I360" s="134" t="s">
        <v>237</v>
      </c>
      <c r="J360">
        <v>1</v>
      </c>
      <c r="K360">
        <v>0</v>
      </c>
    </row>
    <row r="361" spans="1:11" x14ac:dyDescent="0.2">
      <c r="A361" s="165">
        <v>45867.262499999997</v>
      </c>
      <c r="B361" s="134" t="s">
        <v>1673</v>
      </c>
      <c r="C361" s="134" t="s">
        <v>1674</v>
      </c>
      <c r="D361" s="165">
        <v>45876.222291666665</v>
      </c>
      <c r="E361" s="165">
        <v>45905.08</v>
      </c>
      <c r="F361" s="134" t="s">
        <v>1510</v>
      </c>
      <c r="G361">
        <v>4069518141465</v>
      </c>
      <c r="H361" s="134" t="s">
        <v>1675</v>
      </c>
      <c r="I361" s="134" t="s">
        <v>212</v>
      </c>
      <c r="J361">
        <v>0</v>
      </c>
      <c r="K361">
        <v>0</v>
      </c>
    </row>
    <row r="362" spans="1:11" x14ac:dyDescent="0.2">
      <c r="A362" s="165">
        <v>45866.451041666667</v>
      </c>
      <c r="B362" s="134" t="s">
        <v>1676</v>
      </c>
      <c r="C362" s="134" t="s">
        <v>1677</v>
      </c>
      <c r="D362" s="165">
        <v>45873.366724537038</v>
      </c>
      <c r="E362" s="165">
        <v>45902.080023148148</v>
      </c>
      <c r="F362" s="134" t="s">
        <v>1678</v>
      </c>
      <c r="G362">
        <v>4069518507513</v>
      </c>
      <c r="H362" s="134" t="s">
        <v>1679</v>
      </c>
      <c r="I362" s="134" t="s">
        <v>392</v>
      </c>
      <c r="J362">
        <v>0</v>
      </c>
      <c r="K362">
        <v>0</v>
      </c>
    </row>
    <row r="363" spans="1:11" x14ac:dyDescent="0.2">
      <c r="A363" s="165">
        <v>45865.889016203706</v>
      </c>
      <c r="B363" s="134" t="s">
        <v>1680</v>
      </c>
      <c r="C363" s="134" t="s">
        <v>1681</v>
      </c>
      <c r="D363" s="165">
        <v>45871.352800925924</v>
      </c>
      <c r="E363" s="165">
        <v>45900.080069444448</v>
      </c>
      <c r="F363" s="134" t="s">
        <v>1682</v>
      </c>
      <c r="G363">
        <v>4069518471548</v>
      </c>
      <c r="H363" s="134" t="s">
        <v>1683</v>
      </c>
      <c r="I363" s="134" t="s">
        <v>369</v>
      </c>
      <c r="J363">
        <v>0</v>
      </c>
      <c r="K363">
        <v>0</v>
      </c>
    </row>
    <row r="364" spans="1:11" x14ac:dyDescent="0.2">
      <c r="A364" s="165">
        <v>45865.888923611114</v>
      </c>
      <c r="B364" s="134" t="s">
        <v>1684</v>
      </c>
      <c r="C364" s="134" t="s">
        <v>1685</v>
      </c>
      <c r="D364" s="165">
        <v>45876.944525462961</v>
      </c>
      <c r="E364" s="165">
        <v>45905.08</v>
      </c>
      <c r="F364" s="134" t="s">
        <v>1686</v>
      </c>
      <c r="G364">
        <v>4069518386910</v>
      </c>
      <c r="H364" s="134" t="s">
        <v>1687</v>
      </c>
      <c r="I364" s="134" t="s">
        <v>294</v>
      </c>
      <c r="J364">
        <v>0</v>
      </c>
      <c r="K364">
        <v>0</v>
      </c>
    </row>
    <row r="365" spans="1:11" x14ac:dyDescent="0.2">
      <c r="A365" s="165">
        <v>45865.846099537041</v>
      </c>
      <c r="B365" s="134" t="s">
        <v>1688</v>
      </c>
      <c r="C365" s="134" t="s">
        <v>1689</v>
      </c>
      <c r="D365" s="165">
        <v>45876.321562500001</v>
      </c>
      <c r="E365" s="165">
        <v>45905.08</v>
      </c>
      <c r="F365" s="134" t="s">
        <v>1517</v>
      </c>
      <c r="G365">
        <v>4069518255988</v>
      </c>
      <c r="H365" s="134" t="s">
        <v>1690</v>
      </c>
      <c r="I365" s="134" t="s">
        <v>237</v>
      </c>
      <c r="J365">
        <v>1</v>
      </c>
      <c r="K365">
        <v>0</v>
      </c>
    </row>
    <row r="366" spans="1:11" x14ac:dyDescent="0.2">
      <c r="A366" s="165">
        <v>45865.393784722219</v>
      </c>
      <c r="B366" s="134" t="s">
        <v>1691</v>
      </c>
      <c r="C366" s="134" t="s">
        <v>1692</v>
      </c>
      <c r="D366" s="165">
        <v>45873.367418981485</v>
      </c>
      <c r="E366" s="165">
        <v>45902.080023148148</v>
      </c>
      <c r="F366" s="134" t="s">
        <v>1517</v>
      </c>
      <c r="G366">
        <v>4069518255988</v>
      </c>
      <c r="H366" s="134" t="s">
        <v>1693</v>
      </c>
      <c r="I366" s="134" t="s">
        <v>237</v>
      </c>
      <c r="J366">
        <v>1</v>
      </c>
      <c r="K366">
        <v>0</v>
      </c>
    </row>
    <row r="367" spans="1:11" x14ac:dyDescent="0.2">
      <c r="A367" s="165">
        <v>45865.321423611109</v>
      </c>
      <c r="B367" s="134" t="s">
        <v>1694</v>
      </c>
      <c r="C367" s="134" t="s">
        <v>1695</v>
      </c>
      <c r="D367" s="165">
        <v>45876.147256944445</v>
      </c>
      <c r="E367" s="165">
        <v>45905.08</v>
      </c>
      <c r="F367" s="134" t="s">
        <v>1696</v>
      </c>
      <c r="G367">
        <v>4069518039854</v>
      </c>
      <c r="H367" s="134" t="s">
        <v>1697</v>
      </c>
      <c r="I367" s="134" t="s">
        <v>162</v>
      </c>
      <c r="J367">
        <v>1</v>
      </c>
      <c r="K367">
        <v>0</v>
      </c>
    </row>
    <row r="368" spans="1:11" x14ac:dyDescent="0.2">
      <c r="A368" s="165">
        <v>45864.492627314816</v>
      </c>
      <c r="B368" s="134" t="s">
        <v>1698</v>
      </c>
      <c r="C368" s="134" t="s">
        <v>1699</v>
      </c>
      <c r="D368" s="165">
        <v>45870.306284722225</v>
      </c>
      <c r="E368" s="165">
        <v>45878.385474537034</v>
      </c>
      <c r="F368" s="134" t="s">
        <v>1700</v>
      </c>
      <c r="G368">
        <v>4069518460474</v>
      </c>
      <c r="H368" s="134" t="s">
        <v>1701</v>
      </c>
      <c r="I368" s="134" t="s">
        <v>330</v>
      </c>
      <c r="J368">
        <v>0</v>
      </c>
      <c r="K368">
        <v>0</v>
      </c>
    </row>
    <row r="369" spans="1:11" x14ac:dyDescent="0.2">
      <c r="A369" s="165">
        <v>45863.693159722221</v>
      </c>
      <c r="B369" s="134" t="s">
        <v>431</v>
      </c>
      <c r="C369" s="134" t="s">
        <v>431</v>
      </c>
      <c r="D369" s="165">
        <v>45873.999988425923</v>
      </c>
      <c r="E369" s="165">
        <v>45863.781319444446</v>
      </c>
      <c r="F369" s="134" t="s">
        <v>97</v>
      </c>
      <c r="G369">
        <v>4069518471364</v>
      </c>
      <c r="H369" s="134" t="s">
        <v>1702</v>
      </c>
      <c r="I369" s="134" t="s">
        <v>98</v>
      </c>
      <c r="J369">
        <v>0</v>
      </c>
      <c r="K369">
        <v>0</v>
      </c>
    </row>
    <row r="370" spans="1:11" x14ac:dyDescent="0.2">
      <c r="A370" s="165">
        <v>45862.44226851852</v>
      </c>
      <c r="B370" s="134" t="s">
        <v>1703</v>
      </c>
      <c r="C370" s="134" t="s">
        <v>1704</v>
      </c>
      <c r="D370" s="165">
        <v>45871.351458333331</v>
      </c>
      <c r="E370" s="165">
        <v>45900.080127314817</v>
      </c>
      <c r="F370" s="134" t="s">
        <v>1705</v>
      </c>
      <c r="G370">
        <v>741575664746</v>
      </c>
      <c r="H370" s="134" t="s">
        <v>1706</v>
      </c>
      <c r="I370" s="134" t="s">
        <v>1707</v>
      </c>
      <c r="J370">
        <v>0</v>
      </c>
      <c r="K370">
        <v>0</v>
      </c>
    </row>
    <row r="371" spans="1:11" x14ac:dyDescent="0.2">
      <c r="A371" s="165">
        <v>45860.830277777779</v>
      </c>
      <c r="B371" s="134" t="s">
        <v>1708</v>
      </c>
      <c r="C371" s="134" t="s">
        <v>1709</v>
      </c>
      <c r="D371" s="165">
        <v>45869.330636574072</v>
      </c>
      <c r="E371" s="165">
        <v>45899.080104166664</v>
      </c>
      <c r="F371" s="134" t="s">
        <v>1710</v>
      </c>
      <c r="G371">
        <v>4069518457566</v>
      </c>
      <c r="H371" s="134" t="s">
        <v>1711</v>
      </c>
      <c r="I371" s="134" t="s">
        <v>323</v>
      </c>
      <c r="J371">
        <v>0</v>
      </c>
      <c r="K371">
        <v>0</v>
      </c>
    </row>
    <row r="372" spans="1:11" x14ac:dyDescent="0.2">
      <c r="A372" s="165">
        <v>45860.721006944441</v>
      </c>
      <c r="B372" s="134" t="s">
        <v>1712</v>
      </c>
      <c r="C372" s="134" t="s">
        <v>1713</v>
      </c>
      <c r="D372" s="165">
        <v>45866.116076388891</v>
      </c>
      <c r="E372" s="165">
        <v>45894.080023148148</v>
      </c>
      <c r="F372" s="134" t="s">
        <v>111</v>
      </c>
      <c r="G372">
        <v>4069518507230</v>
      </c>
      <c r="H372" s="134" t="s">
        <v>1714</v>
      </c>
      <c r="I372" s="134" t="s">
        <v>112</v>
      </c>
      <c r="J372">
        <v>0</v>
      </c>
      <c r="K372">
        <v>0</v>
      </c>
    </row>
    <row r="373" spans="1:11" x14ac:dyDescent="0.2">
      <c r="A373" s="165">
        <v>45860.623391203706</v>
      </c>
      <c r="B373" s="134" t="s">
        <v>1715</v>
      </c>
      <c r="C373" s="134" t="s">
        <v>1716</v>
      </c>
      <c r="D373" s="165">
        <v>45869.216689814813</v>
      </c>
      <c r="E373" s="165">
        <v>45900.080069444448</v>
      </c>
      <c r="F373" s="134" t="s">
        <v>1717</v>
      </c>
      <c r="G373">
        <v>4069518471760</v>
      </c>
      <c r="H373" s="134" t="s">
        <v>1718</v>
      </c>
      <c r="I373" s="134" t="s">
        <v>370</v>
      </c>
      <c r="J373">
        <v>0</v>
      </c>
      <c r="K373">
        <v>0</v>
      </c>
    </row>
    <row r="374" spans="1:11" x14ac:dyDescent="0.2">
      <c r="A374" s="165">
        <v>45860.466886574075</v>
      </c>
      <c r="B374" s="134" t="s">
        <v>1719</v>
      </c>
      <c r="C374" s="134" t="s">
        <v>1720</v>
      </c>
      <c r="D374" s="165">
        <v>45870.206296296295</v>
      </c>
      <c r="E374" s="165">
        <v>45899.080104166664</v>
      </c>
      <c r="F374" s="134" t="s">
        <v>1721</v>
      </c>
      <c r="G374">
        <v>4069518053935</v>
      </c>
      <c r="H374" s="134" t="s">
        <v>1722</v>
      </c>
      <c r="I374" s="134" t="s">
        <v>164</v>
      </c>
      <c r="J374">
        <v>0</v>
      </c>
      <c r="K374">
        <v>0</v>
      </c>
    </row>
    <row r="375" spans="1:11" x14ac:dyDescent="0.2">
      <c r="A375" s="165">
        <v>45860.466886574075</v>
      </c>
      <c r="B375" s="134" t="s">
        <v>1719</v>
      </c>
      <c r="C375" s="134" t="s">
        <v>1720</v>
      </c>
      <c r="D375" s="165">
        <v>45870.206296296295</v>
      </c>
      <c r="E375" s="165">
        <v>45899.080104166664</v>
      </c>
      <c r="F375" s="134" t="s">
        <v>1721</v>
      </c>
      <c r="G375">
        <v>4069518053935</v>
      </c>
      <c r="H375" s="134" t="s">
        <v>1722</v>
      </c>
      <c r="I375" s="134" t="s">
        <v>164</v>
      </c>
      <c r="J375">
        <v>0</v>
      </c>
      <c r="K375">
        <v>0</v>
      </c>
    </row>
    <row r="376" spans="1:11" x14ac:dyDescent="0.2">
      <c r="A376" s="165">
        <v>45858.992210648146</v>
      </c>
      <c r="B376" s="134" t="s">
        <v>1723</v>
      </c>
      <c r="C376" s="134" t="s">
        <v>1724</v>
      </c>
      <c r="D376" s="165">
        <v>45864.331307870372</v>
      </c>
      <c r="E376" s="165">
        <v>45893.080057870371</v>
      </c>
      <c r="F376" s="134" t="s">
        <v>91</v>
      </c>
      <c r="G376">
        <v>4069518309520</v>
      </c>
      <c r="H376" s="134" t="s">
        <v>1725</v>
      </c>
      <c r="I376" s="134" t="s">
        <v>92</v>
      </c>
      <c r="J376">
        <v>0</v>
      </c>
      <c r="K376">
        <v>0</v>
      </c>
    </row>
    <row r="377" spans="1:11" x14ac:dyDescent="0.2">
      <c r="A377" s="165">
        <v>45858.555046296293</v>
      </c>
      <c r="B377" s="134" t="s">
        <v>1726</v>
      </c>
      <c r="C377" s="134" t="s">
        <v>1727</v>
      </c>
      <c r="D377" s="165">
        <v>45866.065995370373</v>
      </c>
      <c r="E377" s="165">
        <v>45897.097384259258</v>
      </c>
      <c r="F377" s="134" t="s">
        <v>1728</v>
      </c>
      <c r="G377">
        <v>4069518469873</v>
      </c>
      <c r="H377" s="134" t="s">
        <v>1729</v>
      </c>
      <c r="I377" s="134" t="s">
        <v>352</v>
      </c>
      <c r="J377">
        <v>0</v>
      </c>
      <c r="K377">
        <v>0</v>
      </c>
    </row>
    <row r="378" spans="1:11" x14ac:dyDescent="0.2">
      <c r="A378" s="165">
        <v>45858.538171296299</v>
      </c>
      <c r="B378" s="134" t="s">
        <v>1730</v>
      </c>
      <c r="C378" s="134" t="s">
        <v>1731</v>
      </c>
      <c r="D378" s="165">
        <v>45866.20212962963</v>
      </c>
      <c r="E378" s="165">
        <v>45895.080057870371</v>
      </c>
      <c r="F378" s="134" t="s">
        <v>1517</v>
      </c>
      <c r="G378">
        <v>4069518255988</v>
      </c>
      <c r="H378" s="134" t="s">
        <v>1732</v>
      </c>
      <c r="I378" s="134" t="s">
        <v>237</v>
      </c>
      <c r="J378">
        <v>1</v>
      </c>
      <c r="K378">
        <v>0</v>
      </c>
    </row>
    <row r="379" spans="1:11" x14ac:dyDescent="0.2">
      <c r="A379" s="165">
        <v>45856.711863425924</v>
      </c>
      <c r="B379" s="134" t="s">
        <v>1733</v>
      </c>
      <c r="C379" s="134" t="s">
        <v>1734</v>
      </c>
      <c r="D379" s="165">
        <v>45863.375717592593</v>
      </c>
      <c r="E379" s="165">
        <v>45893.080034722225</v>
      </c>
      <c r="F379" s="134" t="s">
        <v>1735</v>
      </c>
      <c r="G379">
        <v>4069518258682</v>
      </c>
      <c r="H379" s="134" t="s">
        <v>1736</v>
      </c>
      <c r="I379" s="134" t="s">
        <v>248</v>
      </c>
      <c r="J379">
        <v>0</v>
      </c>
      <c r="K379">
        <v>0</v>
      </c>
    </row>
    <row r="380" spans="1:11" x14ac:dyDescent="0.2">
      <c r="A380" s="165">
        <v>45855.352488425924</v>
      </c>
      <c r="B380" s="134" t="s">
        <v>1737</v>
      </c>
      <c r="C380" s="134" t="s">
        <v>1738</v>
      </c>
      <c r="D380" s="165">
        <v>45862.373668981483</v>
      </c>
      <c r="E380" s="165">
        <v>45891.080104166664</v>
      </c>
      <c r="F380" s="134" t="s">
        <v>1739</v>
      </c>
      <c r="G380">
        <v>4069518243046</v>
      </c>
      <c r="H380" s="134" t="s">
        <v>1740</v>
      </c>
      <c r="I380" s="134" t="s">
        <v>232</v>
      </c>
      <c r="J380">
        <v>0</v>
      </c>
      <c r="K380">
        <v>0</v>
      </c>
    </row>
    <row r="381" spans="1:11" x14ac:dyDescent="0.2">
      <c r="A381" s="165">
        <v>45854.576469907406</v>
      </c>
      <c r="B381" s="134" t="s">
        <v>1741</v>
      </c>
      <c r="C381" s="134" t="s">
        <v>1742</v>
      </c>
      <c r="D381" s="165">
        <v>45862.338923611111</v>
      </c>
      <c r="E381" s="165">
        <v>45892.080081018517</v>
      </c>
      <c r="F381" s="134" t="s">
        <v>1743</v>
      </c>
      <c r="G381">
        <v>741575661912</v>
      </c>
      <c r="H381" s="134" t="s">
        <v>1744</v>
      </c>
      <c r="I381" s="134" t="s">
        <v>1745</v>
      </c>
      <c r="J381">
        <v>1</v>
      </c>
      <c r="K381">
        <v>0</v>
      </c>
    </row>
    <row r="382" spans="1:11" x14ac:dyDescent="0.2">
      <c r="A382" s="165">
        <v>45851.332557870373</v>
      </c>
      <c r="B382" s="134" t="s">
        <v>1746</v>
      </c>
      <c r="C382" s="134" t="s">
        <v>1747</v>
      </c>
      <c r="D382" s="165">
        <v>45856.013252314813</v>
      </c>
      <c r="E382" s="165">
        <v>45922.066030092596</v>
      </c>
      <c r="F382" s="134" t="s">
        <v>1748</v>
      </c>
      <c r="G382">
        <v>4069518404553</v>
      </c>
      <c r="H382" s="134" t="s">
        <v>1749</v>
      </c>
      <c r="I382" s="134" t="s">
        <v>308</v>
      </c>
      <c r="J382">
        <v>0</v>
      </c>
      <c r="K382">
        <v>0</v>
      </c>
    </row>
    <row r="383" spans="1:11" x14ac:dyDescent="0.2">
      <c r="A383" s="165">
        <v>45850.457025462965</v>
      </c>
      <c r="B383" s="134" t="s">
        <v>1750</v>
      </c>
      <c r="C383" s="134" t="s">
        <v>1751</v>
      </c>
      <c r="D383" s="165">
        <v>45857.340300925927</v>
      </c>
      <c r="E383" s="165">
        <v>45886.080347222225</v>
      </c>
      <c r="F383" s="134" t="s">
        <v>97</v>
      </c>
      <c r="G383">
        <v>4069518471364</v>
      </c>
      <c r="H383" s="134" t="s">
        <v>1752</v>
      </c>
      <c r="I383" s="134" t="s">
        <v>98</v>
      </c>
      <c r="J383">
        <v>0</v>
      </c>
      <c r="K383">
        <v>0</v>
      </c>
    </row>
    <row r="384" spans="1:11" x14ac:dyDescent="0.2">
      <c r="A384" s="165">
        <v>45850.432650462964</v>
      </c>
      <c r="B384" s="134" t="s">
        <v>1753</v>
      </c>
      <c r="C384" s="134" t="s">
        <v>1754</v>
      </c>
      <c r="D384" s="165">
        <v>45860.211828703701</v>
      </c>
      <c r="E384" s="165">
        <v>45878.38208333333</v>
      </c>
      <c r="F384" s="134" t="s">
        <v>113</v>
      </c>
      <c r="G384">
        <v>4069518389898</v>
      </c>
      <c r="H384" s="134" t="s">
        <v>1755</v>
      </c>
      <c r="I384" s="134" t="s">
        <v>114</v>
      </c>
      <c r="J384">
        <v>0</v>
      </c>
      <c r="K384">
        <v>0</v>
      </c>
    </row>
    <row r="385" spans="1:11" x14ac:dyDescent="0.2">
      <c r="A385" s="165">
        <v>45849.91</v>
      </c>
      <c r="B385" s="134" t="s">
        <v>1756</v>
      </c>
      <c r="C385" s="134" t="s">
        <v>1757</v>
      </c>
      <c r="D385" s="165">
        <v>45856.638993055552</v>
      </c>
      <c r="E385" s="165">
        <v>45887.080277777779</v>
      </c>
      <c r="F385" s="134" t="s">
        <v>1758</v>
      </c>
      <c r="G385">
        <v>4069518376874</v>
      </c>
      <c r="H385" s="134" t="s">
        <v>1759</v>
      </c>
      <c r="I385" s="134" t="s">
        <v>288</v>
      </c>
      <c r="J385">
        <v>0</v>
      </c>
      <c r="K385">
        <v>0</v>
      </c>
    </row>
    <row r="386" spans="1:11" x14ac:dyDescent="0.2">
      <c r="A386" s="165">
        <v>45847.4765162037</v>
      </c>
      <c r="B386" s="134" t="s">
        <v>1760</v>
      </c>
      <c r="C386" s="134" t="s">
        <v>1761</v>
      </c>
      <c r="D386" s="165">
        <v>45855.228530092594</v>
      </c>
      <c r="E386" s="165">
        <v>45885.080138888887</v>
      </c>
      <c r="F386" s="134" t="s">
        <v>1762</v>
      </c>
      <c r="G386">
        <v>4069518306284</v>
      </c>
      <c r="H386" s="134" t="s">
        <v>1763</v>
      </c>
      <c r="I386" s="134" t="s">
        <v>267</v>
      </c>
      <c r="J386">
        <v>0</v>
      </c>
      <c r="K386">
        <v>0</v>
      </c>
    </row>
    <row r="387" spans="1:11" x14ac:dyDescent="0.2">
      <c r="A387" s="165">
        <v>45847.4765162037</v>
      </c>
      <c r="B387" s="134" t="s">
        <v>1760</v>
      </c>
      <c r="C387" s="134" t="s">
        <v>1761</v>
      </c>
      <c r="D387" s="165">
        <v>45855.228530092594</v>
      </c>
      <c r="E387" s="165">
        <v>45885.080138888887</v>
      </c>
      <c r="F387" s="134" t="s">
        <v>1762</v>
      </c>
      <c r="G387">
        <v>4069518306284</v>
      </c>
      <c r="H387" s="134" t="s">
        <v>1763</v>
      </c>
      <c r="I387" s="134" t="s">
        <v>267</v>
      </c>
      <c r="J387">
        <v>0</v>
      </c>
      <c r="K387">
        <v>0</v>
      </c>
    </row>
    <row r="388" spans="1:11" x14ac:dyDescent="0.2">
      <c r="A388" s="165">
        <v>45846.64576388889</v>
      </c>
      <c r="B388" s="134" t="s">
        <v>1764</v>
      </c>
      <c r="C388" s="134" t="s">
        <v>1765</v>
      </c>
      <c r="D388" s="165">
        <v>45856.209745370368</v>
      </c>
      <c r="E388" s="165">
        <v>45885.080393518518</v>
      </c>
      <c r="F388" s="134" t="s">
        <v>1766</v>
      </c>
      <c r="G388">
        <v>4069518259948</v>
      </c>
      <c r="H388" s="134" t="s">
        <v>1767</v>
      </c>
      <c r="I388" s="134" t="s">
        <v>252</v>
      </c>
      <c r="J388">
        <v>0</v>
      </c>
      <c r="K388">
        <v>0</v>
      </c>
    </row>
    <row r="389" spans="1:11" x14ac:dyDescent="0.2">
      <c r="A389" s="165">
        <v>45843.454606481479</v>
      </c>
      <c r="B389" s="134" t="s">
        <v>1768</v>
      </c>
      <c r="C389" s="134" t="s">
        <v>1769</v>
      </c>
      <c r="D389" s="165">
        <v>45852.332025462965</v>
      </c>
      <c r="E389" s="165">
        <v>45880.080138888887</v>
      </c>
      <c r="F389" s="134" t="s">
        <v>1770</v>
      </c>
      <c r="G389">
        <v>4069518259894</v>
      </c>
      <c r="H389" s="134" t="s">
        <v>1771</v>
      </c>
      <c r="I389" s="134" t="s">
        <v>251</v>
      </c>
      <c r="J389">
        <v>0</v>
      </c>
      <c r="K389">
        <v>0</v>
      </c>
    </row>
    <row r="390" spans="1:11" x14ac:dyDescent="0.2">
      <c r="A390" s="165">
        <v>45842.440289351849</v>
      </c>
      <c r="B390" s="134" t="s">
        <v>1772</v>
      </c>
      <c r="C390" s="134" t="s">
        <v>1773</v>
      </c>
      <c r="D390" s="165">
        <v>45852.299351851849</v>
      </c>
      <c r="E390" s="165">
        <v>45881.079988425925</v>
      </c>
      <c r="F390" s="134" t="s">
        <v>117</v>
      </c>
      <c r="G390">
        <v>4069518513453</v>
      </c>
      <c r="H390" s="134" t="s">
        <v>1774</v>
      </c>
      <c r="I390" s="134" t="s">
        <v>118</v>
      </c>
      <c r="J390">
        <v>0</v>
      </c>
      <c r="K390">
        <v>0</v>
      </c>
    </row>
    <row r="391" spans="1:11" x14ac:dyDescent="0.2">
      <c r="A391" s="165">
        <v>45841.943668981483</v>
      </c>
      <c r="B391" s="134" t="s">
        <v>1775</v>
      </c>
      <c r="C391" s="134" t="s">
        <v>1776</v>
      </c>
      <c r="D391" s="165">
        <v>45850.357662037037</v>
      </c>
      <c r="E391" s="165">
        <v>45879.08011574074</v>
      </c>
      <c r="F391" s="134" t="s">
        <v>1777</v>
      </c>
      <c r="G391">
        <v>4069518058312</v>
      </c>
      <c r="H391" s="134" t="s">
        <v>1778</v>
      </c>
      <c r="I391" s="134" t="s">
        <v>178</v>
      </c>
      <c r="J391">
        <v>0</v>
      </c>
      <c r="K391">
        <v>0</v>
      </c>
    </row>
    <row r="392" spans="1:11" x14ac:dyDescent="0.2">
      <c r="A392" s="165">
        <v>45841.850810185184</v>
      </c>
      <c r="B392" s="134" t="s">
        <v>1779</v>
      </c>
      <c r="C392" s="134" t="s">
        <v>1780</v>
      </c>
      <c r="D392" s="165">
        <v>45849.309756944444</v>
      </c>
      <c r="E392" s="165">
        <v>45873.79173611111</v>
      </c>
      <c r="F392" s="134" t="s">
        <v>1781</v>
      </c>
      <c r="G392">
        <v>4069518260142</v>
      </c>
      <c r="H392" s="134" t="s">
        <v>1782</v>
      </c>
      <c r="I392" s="134" t="s">
        <v>254</v>
      </c>
      <c r="J392">
        <v>0</v>
      </c>
      <c r="K392">
        <v>0</v>
      </c>
    </row>
    <row r="393" spans="1:11" x14ac:dyDescent="0.2">
      <c r="A393" s="165">
        <v>45838.888472222221</v>
      </c>
      <c r="B393" s="134" t="s">
        <v>1779</v>
      </c>
      <c r="C393" s="134" t="s">
        <v>1783</v>
      </c>
      <c r="D393" s="165">
        <v>45849.309756944444</v>
      </c>
      <c r="E393" s="165">
        <v>45878.080104166664</v>
      </c>
      <c r="F393" s="134" t="s">
        <v>968</v>
      </c>
      <c r="G393">
        <v>4069518141458</v>
      </c>
      <c r="H393" s="134" t="s">
        <v>1784</v>
      </c>
      <c r="I393" s="134" t="s">
        <v>211</v>
      </c>
      <c r="J393">
        <v>0</v>
      </c>
      <c r="K393">
        <v>0</v>
      </c>
    </row>
    <row r="394" spans="1:11" x14ac:dyDescent="0.2">
      <c r="A394" s="165">
        <v>45837.797997685186</v>
      </c>
      <c r="B394" s="134" t="s">
        <v>1785</v>
      </c>
      <c r="C394" s="134" t="s">
        <v>1786</v>
      </c>
      <c r="D394" s="165">
        <v>45846.24795138889</v>
      </c>
      <c r="E394" s="165">
        <v>45879.080011574071</v>
      </c>
      <c r="F394" s="134" t="s">
        <v>431</v>
      </c>
      <c r="H394" s="134" t="s">
        <v>1787</v>
      </c>
      <c r="I394" s="134" t="s">
        <v>431</v>
      </c>
      <c r="J394">
        <v>0</v>
      </c>
      <c r="K394">
        <v>0</v>
      </c>
    </row>
    <row r="395" spans="1:11" x14ac:dyDescent="0.2">
      <c r="A395" s="165">
        <v>45837.797997685186</v>
      </c>
      <c r="B395" s="134" t="s">
        <v>1785</v>
      </c>
      <c r="C395" s="134" t="s">
        <v>1786</v>
      </c>
      <c r="D395" s="165">
        <v>45846.24795138889</v>
      </c>
      <c r="E395" s="165">
        <v>45879.080011574071</v>
      </c>
      <c r="F395" s="134" t="s">
        <v>431</v>
      </c>
      <c r="H395" s="134" t="s">
        <v>1787</v>
      </c>
      <c r="I395" s="134" t="s">
        <v>431</v>
      </c>
      <c r="J395">
        <v>0</v>
      </c>
      <c r="K395">
        <v>0</v>
      </c>
    </row>
    <row r="396" spans="1:11" x14ac:dyDescent="0.2">
      <c r="A396" s="165">
        <v>45836.967442129629</v>
      </c>
      <c r="B396" s="134" t="s">
        <v>1788</v>
      </c>
      <c r="C396" s="134" t="s">
        <v>1789</v>
      </c>
      <c r="D396" s="165">
        <v>45846.254907407405</v>
      </c>
      <c r="E396" s="165">
        <v>45947.309050925927</v>
      </c>
      <c r="F396" s="134" t="s">
        <v>1790</v>
      </c>
      <c r="G396">
        <v>4069518057063</v>
      </c>
      <c r="H396" s="134" t="s">
        <v>1791</v>
      </c>
      <c r="I396" s="134" t="s">
        <v>172</v>
      </c>
      <c r="J396">
        <v>1</v>
      </c>
      <c r="K396">
        <v>0</v>
      </c>
    </row>
    <row r="397" spans="1:11" x14ac:dyDescent="0.2">
      <c r="A397" s="165">
        <v>45833.711400462962</v>
      </c>
      <c r="B397" s="134" t="s">
        <v>1792</v>
      </c>
      <c r="C397" s="134" t="s">
        <v>1793</v>
      </c>
      <c r="D397" s="165">
        <v>45843.297939814816</v>
      </c>
      <c r="E397" s="165">
        <v>45877.080046296294</v>
      </c>
      <c r="F397" s="134" t="s">
        <v>1682</v>
      </c>
      <c r="G397">
        <v>4069518471548</v>
      </c>
      <c r="H397" s="134" t="s">
        <v>1794</v>
      </c>
      <c r="I397" s="134" t="s">
        <v>369</v>
      </c>
      <c r="J397">
        <v>0</v>
      </c>
      <c r="K397">
        <v>0</v>
      </c>
    </row>
    <row r="398" spans="1:11" x14ac:dyDescent="0.2">
      <c r="A398" s="165">
        <v>45832.857858796298</v>
      </c>
      <c r="B398" s="134" t="s">
        <v>1795</v>
      </c>
      <c r="C398" s="134" t="s">
        <v>1796</v>
      </c>
      <c r="D398" s="165">
        <v>45843.333379629628</v>
      </c>
      <c r="E398" s="165">
        <v>45872.080081018517</v>
      </c>
      <c r="F398" s="134" t="s">
        <v>1797</v>
      </c>
      <c r="G398">
        <v>741575697843</v>
      </c>
      <c r="H398" s="134" t="s">
        <v>1798</v>
      </c>
      <c r="I398" s="134" t="s">
        <v>157</v>
      </c>
      <c r="J398">
        <v>1</v>
      </c>
      <c r="K398">
        <v>0</v>
      </c>
    </row>
    <row r="399" spans="1:11" x14ac:dyDescent="0.2">
      <c r="A399" s="165">
        <v>45832.634456018517</v>
      </c>
      <c r="B399" s="134" t="s">
        <v>1799</v>
      </c>
      <c r="C399" s="134" t="s">
        <v>1800</v>
      </c>
      <c r="D399" s="165">
        <v>45841.931331018517</v>
      </c>
      <c r="E399" s="165">
        <v>45856.621562499997</v>
      </c>
      <c r="F399" s="134" t="s">
        <v>1801</v>
      </c>
      <c r="G399">
        <v>4069518259092</v>
      </c>
      <c r="H399" s="134" t="s">
        <v>1802</v>
      </c>
      <c r="I399" s="134" t="s">
        <v>249</v>
      </c>
      <c r="J399">
        <v>0</v>
      </c>
      <c r="K399">
        <v>0</v>
      </c>
    </row>
    <row r="400" spans="1:11" x14ac:dyDescent="0.2">
      <c r="A400" s="165">
        <v>45832.541597222225</v>
      </c>
      <c r="B400" s="134" t="s">
        <v>1803</v>
      </c>
      <c r="C400" s="134" t="s">
        <v>1804</v>
      </c>
      <c r="D400" s="165">
        <v>45842.348657407405</v>
      </c>
      <c r="E400" s="165">
        <v>45874.080046296294</v>
      </c>
      <c r="F400" s="134" t="s">
        <v>97</v>
      </c>
      <c r="G400">
        <v>4069518471364</v>
      </c>
      <c r="H400" s="134" t="s">
        <v>1805</v>
      </c>
      <c r="I400" s="134" t="s">
        <v>98</v>
      </c>
      <c r="J400">
        <v>0</v>
      </c>
      <c r="K400">
        <v>0</v>
      </c>
    </row>
    <row r="401" spans="1:11" x14ac:dyDescent="0.2">
      <c r="A401" s="165">
        <v>45832.342407407406</v>
      </c>
      <c r="B401" s="134" t="s">
        <v>1806</v>
      </c>
      <c r="C401" s="134" t="s">
        <v>1807</v>
      </c>
      <c r="D401" s="165">
        <v>45842.225740740738</v>
      </c>
      <c r="E401" s="165">
        <v>45871.080138888887</v>
      </c>
      <c r="F401" s="134" t="s">
        <v>431</v>
      </c>
      <c r="H401" s="134" t="s">
        <v>1808</v>
      </c>
      <c r="I401" s="134" t="s">
        <v>431</v>
      </c>
      <c r="J401">
        <v>0</v>
      </c>
      <c r="K401">
        <v>0</v>
      </c>
    </row>
    <row r="402" spans="1:11" x14ac:dyDescent="0.2">
      <c r="A402" s="165">
        <v>45829.496655092589</v>
      </c>
      <c r="B402" s="134" t="s">
        <v>1809</v>
      </c>
      <c r="C402" s="134" t="s">
        <v>1810</v>
      </c>
      <c r="D402" s="165">
        <v>45848.316689814812</v>
      </c>
      <c r="E402" s="165">
        <v>45878.080011574071</v>
      </c>
      <c r="F402" s="134" t="s">
        <v>1811</v>
      </c>
      <c r="G402">
        <v>4069518389928</v>
      </c>
      <c r="H402" s="134" t="s">
        <v>1812</v>
      </c>
      <c r="I402" s="134" t="s">
        <v>299</v>
      </c>
      <c r="J402">
        <v>0</v>
      </c>
      <c r="K402">
        <v>0</v>
      </c>
    </row>
    <row r="403" spans="1:11" x14ac:dyDescent="0.2">
      <c r="A403" s="165">
        <v>45827.654710648145</v>
      </c>
      <c r="B403" s="134" t="s">
        <v>431</v>
      </c>
      <c r="C403" s="134" t="s">
        <v>431</v>
      </c>
      <c r="D403" s="165">
        <v>45836.999988425923</v>
      </c>
      <c r="E403" s="165">
        <v>45827.739722222221</v>
      </c>
      <c r="F403" s="134" t="s">
        <v>1813</v>
      </c>
      <c r="G403">
        <v>4069518260258</v>
      </c>
      <c r="H403" s="134" t="s">
        <v>1814</v>
      </c>
      <c r="I403" s="134" t="s">
        <v>256</v>
      </c>
      <c r="J403">
        <v>0</v>
      </c>
      <c r="K403">
        <v>0</v>
      </c>
    </row>
    <row r="404" spans="1:11" x14ac:dyDescent="0.2">
      <c r="A404" s="165">
        <v>45826.534421296295</v>
      </c>
      <c r="B404" s="134" t="s">
        <v>1815</v>
      </c>
      <c r="C404" s="134" t="s">
        <v>1816</v>
      </c>
      <c r="D404" s="165">
        <v>45835.166006944448</v>
      </c>
      <c r="E404" s="165">
        <v>45895.062615740739</v>
      </c>
      <c r="F404" s="134" t="s">
        <v>1781</v>
      </c>
      <c r="G404">
        <v>4069518260142</v>
      </c>
      <c r="H404" s="134" t="s">
        <v>1817</v>
      </c>
      <c r="I404" s="134" t="s">
        <v>254</v>
      </c>
      <c r="J404">
        <v>0</v>
      </c>
      <c r="K404">
        <v>0</v>
      </c>
    </row>
    <row r="405" spans="1:11" x14ac:dyDescent="0.2">
      <c r="A405" s="165">
        <v>45826.439120370371</v>
      </c>
      <c r="B405" s="134" t="s">
        <v>1818</v>
      </c>
      <c r="C405" s="134" t="s">
        <v>1819</v>
      </c>
      <c r="D405" s="165">
        <v>45836.363263888888</v>
      </c>
      <c r="E405" s="165">
        <v>45889.309120370373</v>
      </c>
      <c r="F405" s="134" t="s">
        <v>1820</v>
      </c>
      <c r="G405">
        <v>4069518477496</v>
      </c>
      <c r="H405" s="134" t="s">
        <v>1821</v>
      </c>
      <c r="I405" s="134" t="s">
        <v>384</v>
      </c>
      <c r="J405">
        <v>0</v>
      </c>
      <c r="K405">
        <v>0</v>
      </c>
    </row>
    <row r="406" spans="1:11" x14ac:dyDescent="0.2">
      <c r="A406" s="165">
        <v>45825.705243055556</v>
      </c>
      <c r="B406" s="134" t="s">
        <v>1822</v>
      </c>
      <c r="C406" s="134" t="s">
        <v>1823</v>
      </c>
      <c r="D406" s="165">
        <v>45834.350034722222</v>
      </c>
      <c r="E406" s="165">
        <v>45865.080034722225</v>
      </c>
      <c r="F406" s="134" t="s">
        <v>568</v>
      </c>
      <c r="G406">
        <v>4069518033166</v>
      </c>
      <c r="H406" s="134" t="s">
        <v>1824</v>
      </c>
      <c r="I406" s="134" t="s">
        <v>198</v>
      </c>
      <c r="J406">
        <v>0</v>
      </c>
      <c r="K406">
        <v>0</v>
      </c>
    </row>
    <row r="407" spans="1:11" x14ac:dyDescent="0.2">
      <c r="A407" s="165">
        <v>45825.648726851854</v>
      </c>
      <c r="B407" s="134" t="s">
        <v>1825</v>
      </c>
      <c r="C407" s="134" t="s">
        <v>1826</v>
      </c>
      <c r="D407" s="165">
        <v>45835.21533564815</v>
      </c>
      <c r="E407" s="165">
        <v>45869.080057870371</v>
      </c>
      <c r="F407" s="134" t="s">
        <v>113</v>
      </c>
      <c r="G407">
        <v>4069518389898</v>
      </c>
      <c r="H407" s="134" t="s">
        <v>1827</v>
      </c>
      <c r="I407" s="134" t="s">
        <v>114</v>
      </c>
      <c r="J407">
        <v>0</v>
      </c>
      <c r="K407">
        <v>0</v>
      </c>
    </row>
    <row r="408" spans="1:11" x14ac:dyDescent="0.2">
      <c r="A408" s="165">
        <v>45824.919074074074</v>
      </c>
      <c r="B408" s="134" t="s">
        <v>1828</v>
      </c>
      <c r="C408" s="134" t="s">
        <v>1829</v>
      </c>
      <c r="D408" s="165">
        <v>45834.350729166668</v>
      </c>
      <c r="E408" s="165">
        <v>45888.434155092589</v>
      </c>
      <c r="F408" s="134" t="s">
        <v>1762</v>
      </c>
      <c r="G408">
        <v>4069518306284</v>
      </c>
      <c r="H408" s="134" t="s">
        <v>1830</v>
      </c>
      <c r="I408" s="134" t="s">
        <v>267</v>
      </c>
      <c r="J408">
        <v>0</v>
      </c>
      <c r="K408">
        <v>0</v>
      </c>
    </row>
    <row r="409" spans="1:11" x14ac:dyDescent="0.2">
      <c r="A409" s="165">
        <v>45824.099016203705</v>
      </c>
      <c r="B409" s="134" t="s">
        <v>1831</v>
      </c>
      <c r="C409" s="134" t="s">
        <v>1832</v>
      </c>
      <c r="D409" s="165">
        <v>45835.161863425928</v>
      </c>
      <c r="E409" s="165">
        <v>45864.080046296294</v>
      </c>
      <c r="F409" s="134" t="s">
        <v>1686</v>
      </c>
      <c r="G409">
        <v>4069518386910</v>
      </c>
      <c r="H409" s="134" t="s">
        <v>1833</v>
      </c>
      <c r="I409" s="134" t="s">
        <v>294</v>
      </c>
      <c r="J409">
        <v>0</v>
      </c>
      <c r="K409">
        <v>0</v>
      </c>
    </row>
    <row r="410" spans="1:11" x14ac:dyDescent="0.2">
      <c r="A410" s="165">
        <v>45819.476701388892</v>
      </c>
      <c r="B410" s="134" t="s">
        <v>1834</v>
      </c>
      <c r="C410" s="134" t="s">
        <v>1835</v>
      </c>
      <c r="D410" s="165">
        <v>45827</v>
      </c>
      <c r="E410" s="165">
        <v>45857.080092592594</v>
      </c>
      <c r="F410" s="134" t="s">
        <v>1836</v>
      </c>
      <c r="G410">
        <v>741575680135</v>
      </c>
      <c r="H410" s="134" t="s">
        <v>1837</v>
      </c>
      <c r="I410" s="134" t="s">
        <v>148</v>
      </c>
      <c r="J410">
        <v>0</v>
      </c>
      <c r="K410">
        <v>0</v>
      </c>
    </row>
    <row r="411" spans="1:11" x14ac:dyDescent="0.2">
      <c r="A411" s="165">
        <v>45818.662962962961</v>
      </c>
      <c r="B411" s="134" t="s">
        <v>1838</v>
      </c>
      <c r="C411" s="134" t="s">
        <v>1839</v>
      </c>
      <c r="D411" s="165">
        <v>45827</v>
      </c>
      <c r="E411" s="165">
        <v>45857.080011574071</v>
      </c>
      <c r="F411" s="134" t="s">
        <v>1840</v>
      </c>
      <c r="G411">
        <v>4069518306468</v>
      </c>
      <c r="H411" s="134" t="s">
        <v>1841</v>
      </c>
      <c r="I411" s="134" t="s">
        <v>268</v>
      </c>
      <c r="J411">
        <v>0</v>
      </c>
      <c r="K411">
        <v>0</v>
      </c>
    </row>
    <row r="412" spans="1:11" x14ac:dyDescent="0.2">
      <c r="A412" s="165">
        <v>45817.396597222221</v>
      </c>
      <c r="B412" s="134" t="s">
        <v>1842</v>
      </c>
      <c r="C412" s="134" t="s">
        <v>1843</v>
      </c>
      <c r="D412" s="165">
        <v>45855.163275462961</v>
      </c>
      <c r="E412" s="165">
        <v>45883.08016203704</v>
      </c>
      <c r="F412" s="134" t="s">
        <v>1844</v>
      </c>
      <c r="G412">
        <v>4069518471852</v>
      </c>
      <c r="H412" s="134" t="s">
        <v>1845</v>
      </c>
      <c r="I412" s="134" t="s">
        <v>1846</v>
      </c>
      <c r="J412">
        <v>0</v>
      </c>
      <c r="K412">
        <v>0</v>
      </c>
    </row>
    <row r="413" spans="1:11" x14ac:dyDescent="0.2">
      <c r="A413" s="165">
        <v>45815.8752662037</v>
      </c>
      <c r="B413" s="134" t="s">
        <v>1847</v>
      </c>
      <c r="C413" s="134" t="s">
        <v>1848</v>
      </c>
      <c r="D413" s="165">
        <v>45822</v>
      </c>
      <c r="E413" s="165">
        <v>45855.080092592594</v>
      </c>
      <c r="F413" s="134" t="s">
        <v>97</v>
      </c>
      <c r="G413">
        <v>4069518471364</v>
      </c>
      <c r="H413" s="134" t="s">
        <v>1849</v>
      </c>
      <c r="I413" s="134" t="s">
        <v>98</v>
      </c>
      <c r="J413">
        <v>0</v>
      </c>
      <c r="K413">
        <v>0</v>
      </c>
    </row>
    <row r="414" spans="1:11" x14ac:dyDescent="0.2">
      <c r="A414" s="165">
        <v>45813.704756944448</v>
      </c>
      <c r="B414" s="134" t="s">
        <v>431</v>
      </c>
      <c r="C414" s="134" t="s">
        <v>1850</v>
      </c>
      <c r="D414" s="165">
        <v>45824</v>
      </c>
      <c r="E414" s="165">
        <v>45832.739699074074</v>
      </c>
      <c r="F414" s="134" t="s">
        <v>1851</v>
      </c>
      <c r="G414">
        <v>4069518161814</v>
      </c>
      <c r="H414" s="134" t="s">
        <v>1852</v>
      </c>
      <c r="I414" s="134" t="s">
        <v>1853</v>
      </c>
      <c r="J414">
        <v>1</v>
      </c>
      <c r="K414">
        <v>0</v>
      </c>
    </row>
    <row r="415" spans="1:11" x14ac:dyDescent="0.2">
      <c r="A415" s="165">
        <v>45811.023495370369</v>
      </c>
      <c r="B415" s="134" t="s">
        <v>1854</v>
      </c>
      <c r="C415" s="134" t="s">
        <v>1855</v>
      </c>
      <c r="D415" s="165">
        <v>45822</v>
      </c>
      <c r="E415" s="165">
        <v>45851.08017361111</v>
      </c>
      <c r="F415" s="134" t="s">
        <v>1856</v>
      </c>
      <c r="G415">
        <v>741575677913</v>
      </c>
      <c r="H415" s="134" t="s">
        <v>1857</v>
      </c>
      <c r="I415" s="134" t="s">
        <v>139</v>
      </c>
      <c r="J415">
        <v>1</v>
      </c>
      <c r="K415">
        <v>0</v>
      </c>
    </row>
    <row r="416" spans="1:11" x14ac:dyDescent="0.2">
      <c r="A416" s="165">
        <v>45809.748692129629</v>
      </c>
      <c r="B416" s="134" t="s">
        <v>1858</v>
      </c>
      <c r="C416" s="134" t="s">
        <v>1859</v>
      </c>
      <c r="D416" s="165">
        <v>45818</v>
      </c>
      <c r="E416" s="165">
        <v>45877.347303240742</v>
      </c>
      <c r="F416" s="134" t="s">
        <v>1860</v>
      </c>
      <c r="G416">
        <v>741575681392</v>
      </c>
      <c r="H416" s="134" t="s">
        <v>1861</v>
      </c>
      <c r="I416" s="134" t="s">
        <v>152</v>
      </c>
      <c r="J416">
        <v>0</v>
      </c>
      <c r="K416">
        <v>0</v>
      </c>
    </row>
    <row r="417" spans="1:11" x14ac:dyDescent="0.2">
      <c r="A417" s="165">
        <v>45803.661412037036</v>
      </c>
      <c r="B417" s="134" t="s">
        <v>1842</v>
      </c>
      <c r="C417" s="134" t="s">
        <v>1862</v>
      </c>
      <c r="D417" s="165">
        <v>45855.163275462961</v>
      </c>
      <c r="E417" s="165">
        <v>45854.635578703703</v>
      </c>
      <c r="F417" s="134" t="s">
        <v>93</v>
      </c>
      <c r="G417">
        <v>4069518471838</v>
      </c>
      <c r="H417" s="134" t="s">
        <v>1863</v>
      </c>
      <c r="I417" s="134" t="s">
        <v>94</v>
      </c>
      <c r="J417">
        <v>0</v>
      </c>
      <c r="K417">
        <v>0</v>
      </c>
    </row>
    <row r="418" spans="1:11" x14ac:dyDescent="0.2">
      <c r="A418" s="165">
        <v>45795.554976851854</v>
      </c>
      <c r="B418" s="134" t="s">
        <v>1864</v>
      </c>
      <c r="C418" s="134" t="s">
        <v>1865</v>
      </c>
      <c r="D418" s="165">
        <v>45803</v>
      </c>
      <c r="E418" s="165">
        <v>45831.080104166664</v>
      </c>
      <c r="F418" s="134" t="s">
        <v>1866</v>
      </c>
      <c r="G418">
        <v>4069518019214</v>
      </c>
      <c r="H418" s="134" t="s">
        <v>1867</v>
      </c>
      <c r="I418" s="134" t="s">
        <v>188</v>
      </c>
      <c r="J418">
        <v>0</v>
      </c>
      <c r="K418">
        <v>0</v>
      </c>
    </row>
    <row r="419" spans="1:11" x14ac:dyDescent="0.2">
      <c r="A419" s="165">
        <v>45794.644467592596</v>
      </c>
      <c r="B419" s="134" t="s">
        <v>1868</v>
      </c>
      <c r="C419" s="134" t="s">
        <v>1869</v>
      </c>
      <c r="D419" s="165">
        <v>45807</v>
      </c>
      <c r="E419" s="165">
        <v>45836.080127314817</v>
      </c>
      <c r="F419" s="134" t="s">
        <v>1762</v>
      </c>
      <c r="G419">
        <v>4069518306284</v>
      </c>
      <c r="H419" s="134" t="s">
        <v>1870</v>
      </c>
      <c r="I419" s="134" t="s">
        <v>267</v>
      </c>
      <c r="J419">
        <v>0</v>
      </c>
      <c r="K419">
        <v>0</v>
      </c>
    </row>
    <row r="420" spans="1:11" x14ac:dyDescent="0.2">
      <c r="A420" s="165">
        <v>45794.455405092594</v>
      </c>
      <c r="B420" s="134" t="s">
        <v>1871</v>
      </c>
      <c r="C420" s="134" t="s">
        <v>1872</v>
      </c>
      <c r="D420" s="165">
        <v>45807</v>
      </c>
      <c r="E420" s="165">
        <v>45836.080127314817</v>
      </c>
      <c r="F420" s="134" t="s">
        <v>1873</v>
      </c>
      <c r="G420">
        <v>741575680616</v>
      </c>
      <c r="H420" s="134" t="s">
        <v>1874</v>
      </c>
      <c r="I420" s="134" t="s">
        <v>1875</v>
      </c>
      <c r="J420">
        <v>0</v>
      </c>
      <c r="K420">
        <v>0</v>
      </c>
    </row>
    <row r="421" spans="1:11" x14ac:dyDescent="0.2">
      <c r="A421" s="165">
        <v>45786.5471412037</v>
      </c>
      <c r="B421" s="134" t="s">
        <v>1876</v>
      </c>
      <c r="C421" s="134" t="s">
        <v>1877</v>
      </c>
      <c r="D421" s="165">
        <v>45799</v>
      </c>
      <c r="E421" s="165">
        <v>45829.083495370367</v>
      </c>
      <c r="F421" s="134" t="s">
        <v>1878</v>
      </c>
      <c r="G421">
        <v>4069518308110</v>
      </c>
      <c r="H421" s="134" t="s">
        <v>1879</v>
      </c>
      <c r="I421" s="134" t="s">
        <v>270</v>
      </c>
      <c r="J421">
        <v>0</v>
      </c>
      <c r="K421">
        <v>0</v>
      </c>
    </row>
    <row r="422" spans="1:11" x14ac:dyDescent="0.2">
      <c r="A422" s="165">
        <v>45782.599374999998</v>
      </c>
      <c r="B422" s="134" t="s">
        <v>1880</v>
      </c>
      <c r="C422" s="134" t="s">
        <v>1881</v>
      </c>
      <c r="D422" s="165">
        <v>45797</v>
      </c>
      <c r="E422" s="165">
        <v>45828.08017361111</v>
      </c>
      <c r="F422" s="134" t="s">
        <v>1882</v>
      </c>
      <c r="G422">
        <v>4069518088531</v>
      </c>
      <c r="H422" s="134" t="s">
        <v>1883</v>
      </c>
      <c r="I422" s="134" t="s">
        <v>1884</v>
      </c>
      <c r="J422">
        <v>0</v>
      </c>
      <c r="K422">
        <v>0</v>
      </c>
    </row>
    <row r="423" spans="1:11" x14ac:dyDescent="0.2">
      <c r="A423" s="165">
        <v>45779.819918981484</v>
      </c>
      <c r="B423" s="134" t="s">
        <v>1885</v>
      </c>
      <c r="C423" s="134" t="s">
        <v>1886</v>
      </c>
      <c r="D423" s="165">
        <v>45792</v>
      </c>
      <c r="E423" s="165">
        <v>45822.080069444448</v>
      </c>
      <c r="F423" s="134" t="s">
        <v>1887</v>
      </c>
      <c r="G423">
        <v>4069518022610</v>
      </c>
      <c r="H423" s="134" t="s">
        <v>1888</v>
      </c>
      <c r="I423" s="134" t="s">
        <v>193</v>
      </c>
      <c r="J423">
        <v>0</v>
      </c>
      <c r="K423">
        <v>0</v>
      </c>
    </row>
    <row r="424" spans="1:11" x14ac:dyDescent="0.2">
      <c r="A424" s="165">
        <v>45775.480520833335</v>
      </c>
      <c r="B424" s="134" t="s">
        <v>431</v>
      </c>
      <c r="C424" s="134" t="s">
        <v>431</v>
      </c>
      <c r="D424" s="165">
        <v>45784</v>
      </c>
      <c r="E424" s="165">
        <v>45811.43408564815</v>
      </c>
      <c r="F424" s="134" t="s">
        <v>91</v>
      </c>
      <c r="G424">
        <v>4069518309520</v>
      </c>
      <c r="H424" s="134" t="s">
        <v>1889</v>
      </c>
      <c r="I424" s="134" t="s">
        <v>92</v>
      </c>
      <c r="J424">
        <v>0</v>
      </c>
      <c r="K424">
        <v>0</v>
      </c>
    </row>
    <row r="425" spans="1:11" x14ac:dyDescent="0.2">
      <c r="A425" s="165">
        <v>45774.803784722222</v>
      </c>
      <c r="B425" s="134" t="s">
        <v>1890</v>
      </c>
      <c r="C425" s="134" t="s">
        <v>1891</v>
      </c>
      <c r="D425" s="165">
        <v>45785</v>
      </c>
      <c r="E425" s="165">
        <v>45815.080335648148</v>
      </c>
      <c r="F425" s="134" t="s">
        <v>91</v>
      </c>
      <c r="G425">
        <v>4069518309520</v>
      </c>
      <c r="H425" s="134" t="s">
        <v>1892</v>
      </c>
      <c r="I425" s="134" t="s">
        <v>92</v>
      </c>
      <c r="J425">
        <v>0</v>
      </c>
      <c r="K425">
        <v>0</v>
      </c>
    </row>
    <row r="426" spans="1:11" x14ac:dyDescent="0.2">
      <c r="A426" s="165">
        <v>45774.754560185182</v>
      </c>
      <c r="B426" s="134" t="s">
        <v>1893</v>
      </c>
      <c r="C426" s="134" t="s">
        <v>1894</v>
      </c>
      <c r="D426" s="165">
        <v>45787</v>
      </c>
      <c r="E426" s="165">
        <v>45817.08021990741</v>
      </c>
      <c r="F426" s="134" t="s">
        <v>1895</v>
      </c>
      <c r="G426">
        <v>4069518088494</v>
      </c>
      <c r="H426" s="134" t="s">
        <v>1896</v>
      </c>
      <c r="I426" s="134" t="s">
        <v>1897</v>
      </c>
      <c r="J426">
        <v>0</v>
      </c>
      <c r="K426">
        <v>0</v>
      </c>
    </row>
    <row r="427" spans="1:11" x14ac:dyDescent="0.2">
      <c r="A427" s="165">
        <v>45771.52921296296</v>
      </c>
      <c r="B427" s="134" t="s">
        <v>1898</v>
      </c>
      <c r="C427" s="134" t="s">
        <v>1899</v>
      </c>
      <c r="D427" s="165">
        <v>45780</v>
      </c>
      <c r="E427" s="165">
        <v>45810.083622685182</v>
      </c>
      <c r="F427" s="134" t="s">
        <v>1900</v>
      </c>
      <c r="G427">
        <v>741575664548</v>
      </c>
      <c r="H427" s="134" t="s">
        <v>1901</v>
      </c>
      <c r="I427" s="134" t="s">
        <v>1902</v>
      </c>
      <c r="J427">
        <v>0</v>
      </c>
      <c r="K427">
        <v>0</v>
      </c>
    </row>
    <row r="428" spans="1:11" x14ac:dyDescent="0.2">
      <c r="A428" s="165">
        <v>45770.78564814815</v>
      </c>
      <c r="B428" s="134" t="s">
        <v>1903</v>
      </c>
      <c r="C428" s="134" t="s">
        <v>1904</v>
      </c>
      <c r="D428" s="165">
        <v>45780</v>
      </c>
      <c r="E428" s="165">
        <v>45810.087013888886</v>
      </c>
      <c r="F428" s="134" t="s">
        <v>1905</v>
      </c>
      <c r="G428">
        <v>4069518022207</v>
      </c>
      <c r="H428" s="134" t="s">
        <v>1906</v>
      </c>
      <c r="I428" s="134" t="s">
        <v>190</v>
      </c>
      <c r="J428">
        <v>0</v>
      </c>
      <c r="K428">
        <v>0</v>
      </c>
    </row>
    <row r="429" spans="1:11" x14ac:dyDescent="0.2">
      <c r="A429" s="165">
        <v>45768.657152777778</v>
      </c>
      <c r="B429" s="134" t="s">
        <v>1907</v>
      </c>
      <c r="C429" s="134" t="s">
        <v>1908</v>
      </c>
      <c r="D429" s="165">
        <v>45780</v>
      </c>
      <c r="E429" s="165">
        <v>45826.656319444446</v>
      </c>
      <c r="F429" s="134" t="s">
        <v>1909</v>
      </c>
      <c r="G429">
        <v>4069518023037</v>
      </c>
      <c r="H429" s="134" t="s">
        <v>1910</v>
      </c>
      <c r="I429" s="134" t="s">
        <v>196</v>
      </c>
      <c r="J429">
        <v>0</v>
      </c>
      <c r="K429">
        <v>0</v>
      </c>
    </row>
    <row r="430" spans="1:11" x14ac:dyDescent="0.2">
      <c r="A430" s="165">
        <v>45768.648668981485</v>
      </c>
      <c r="B430" s="134" t="s">
        <v>1911</v>
      </c>
      <c r="C430" s="134" t="s">
        <v>1912</v>
      </c>
      <c r="D430" s="165">
        <v>45780</v>
      </c>
      <c r="E430" s="165">
        <v>45808.087106481478</v>
      </c>
      <c r="F430" s="134" t="s">
        <v>1913</v>
      </c>
      <c r="G430">
        <v>4069518260463</v>
      </c>
      <c r="H430" s="134" t="s">
        <v>1914</v>
      </c>
      <c r="I430" s="134" t="s">
        <v>1915</v>
      </c>
      <c r="J430">
        <v>0</v>
      </c>
      <c r="K430">
        <v>0</v>
      </c>
    </row>
    <row r="431" spans="1:11" x14ac:dyDescent="0.2">
      <c r="A431" s="165">
        <v>45768.605509259258</v>
      </c>
      <c r="B431" s="134" t="s">
        <v>1916</v>
      </c>
      <c r="C431" s="134" t="s">
        <v>1917</v>
      </c>
      <c r="D431" s="165">
        <v>45780</v>
      </c>
      <c r="E431" s="165">
        <v>45808.080081018517</v>
      </c>
      <c r="F431" s="134" t="s">
        <v>1918</v>
      </c>
      <c r="G431">
        <v>4069518242285</v>
      </c>
      <c r="H431" s="134" t="s">
        <v>1919</v>
      </c>
      <c r="I431" s="134" t="s">
        <v>225</v>
      </c>
      <c r="J431">
        <v>0</v>
      </c>
      <c r="K431">
        <v>0</v>
      </c>
    </row>
    <row r="432" spans="1:11" x14ac:dyDescent="0.2">
      <c r="A432" s="165">
        <v>45767.500659722224</v>
      </c>
      <c r="B432" s="134" t="s">
        <v>1920</v>
      </c>
      <c r="C432" s="134" t="s">
        <v>1921</v>
      </c>
      <c r="D432" s="165">
        <v>45776</v>
      </c>
      <c r="E432" s="165">
        <v>45806.080185185187</v>
      </c>
      <c r="F432" s="134" t="s">
        <v>1705</v>
      </c>
      <c r="G432">
        <v>741575664746</v>
      </c>
      <c r="H432" s="134" t="s">
        <v>1922</v>
      </c>
      <c r="I432" s="134" t="s">
        <v>1707</v>
      </c>
      <c r="J432">
        <v>0</v>
      </c>
      <c r="K432">
        <v>0</v>
      </c>
    </row>
    <row r="433" spans="1:11" x14ac:dyDescent="0.2">
      <c r="A433" s="165">
        <v>45766.710648148146</v>
      </c>
      <c r="B433" s="134" t="s">
        <v>1923</v>
      </c>
      <c r="C433" s="134" t="s">
        <v>1924</v>
      </c>
      <c r="D433" s="165">
        <v>45776</v>
      </c>
      <c r="E433" s="165">
        <v>45806.083564814813</v>
      </c>
      <c r="F433" s="134" t="s">
        <v>525</v>
      </c>
      <c r="G433">
        <v>741575657724</v>
      </c>
      <c r="H433" s="134" t="s">
        <v>1925</v>
      </c>
      <c r="I433" s="134" t="s">
        <v>527</v>
      </c>
      <c r="J433">
        <v>0</v>
      </c>
      <c r="K433">
        <v>0</v>
      </c>
    </row>
    <row r="434" spans="1:11" x14ac:dyDescent="0.2">
      <c r="A434" s="165">
        <v>45760.747048611112</v>
      </c>
      <c r="B434" s="134" t="s">
        <v>1926</v>
      </c>
      <c r="C434" s="134" t="s">
        <v>1927</v>
      </c>
      <c r="D434" s="165">
        <v>45772</v>
      </c>
      <c r="E434" s="165">
        <v>45803.083807870367</v>
      </c>
      <c r="F434" s="134" t="s">
        <v>1202</v>
      </c>
      <c r="G434">
        <v>4069518033142</v>
      </c>
      <c r="H434" s="134" t="s">
        <v>1928</v>
      </c>
      <c r="I434" s="134" t="s">
        <v>197</v>
      </c>
      <c r="J434">
        <v>0</v>
      </c>
      <c r="K434">
        <v>0</v>
      </c>
    </row>
    <row r="435" spans="1:11" x14ac:dyDescent="0.2">
      <c r="A435" s="165">
        <v>45760.388055555559</v>
      </c>
      <c r="B435" s="134" t="s">
        <v>1929</v>
      </c>
      <c r="C435" s="134" t="s">
        <v>1930</v>
      </c>
      <c r="D435" s="165">
        <v>45770</v>
      </c>
      <c r="E435" s="165">
        <v>45807.06962962963</v>
      </c>
      <c r="F435" s="134" t="s">
        <v>1931</v>
      </c>
      <c r="G435">
        <v>4069518243022</v>
      </c>
      <c r="H435" s="134" t="s">
        <v>1932</v>
      </c>
      <c r="I435" s="134" t="s">
        <v>231</v>
      </c>
      <c r="J435">
        <v>0</v>
      </c>
      <c r="K435">
        <v>0</v>
      </c>
    </row>
    <row r="436" spans="1:11" x14ac:dyDescent="0.2">
      <c r="A436" s="165">
        <v>45755.499988425923</v>
      </c>
      <c r="B436" s="134" t="s">
        <v>1933</v>
      </c>
      <c r="C436" s="134" t="s">
        <v>1934</v>
      </c>
      <c r="D436" s="165">
        <v>45762</v>
      </c>
      <c r="E436" s="165">
        <v>45793.083611111113</v>
      </c>
      <c r="F436" s="134" t="s">
        <v>1935</v>
      </c>
      <c r="G436">
        <v>4069518260456</v>
      </c>
      <c r="H436" s="134" t="s">
        <v>1936</v>
      </c>
      <c r="I436" s="134" t="s">
        <v>1937</v>
      </c>
      <c r="J436">
        <v>0</v>
      </c>
      <c r="K436">
        <v>0</v>
      </c>
    </row>
    <row r="437" spans="1:11" x14ac:dyDescent="0.2">
      <c r="A437" s="165">
        <v>45753.654594907406</v>
      </c>
      <c r="B437" s="134" t="s">
        <v>1938</v>
      </c>
      <c r="C437" s="134" t="s">
        <v>1939</v>
      </c>
      <c r="D437" s="165">
        <v>45761</v>
      </c>
      <c r="E437" s="165">
        <v>45789.083692129629</v>
      </c>
      <c r="F437" s="134" t="s">
        <v>1900</v>
      </c>
      <c r="G437">
        <v>741575664548</v>
      </c>
      <c r="H437" s="134" t="s">
        <v>1940</v>
      </c>
      <c r="I437" s="134" t="s">
        <v>1902</v>
      </c>
      <c r="J437">
        <v>0</v>
      </c>
      <c r="K437">
        <v>0</v>
      </c>
    </row>
    <row r="438" spans="1:11" x14ac:dyDescent="0.2">
      <c r="A438" s="165">
        <v>45749.532592592594</v>
      </c>
      <c r="B438" s="134" t="s">
        <v>1941</v>
      </c>
      <c r="C438" s="134" t="s">
        <v>1942</v>
      </c>
      <c r="D438" s="165">
        <v>45758</v>
      </c>
      <c r="E438" s="165">
        <v>45787.087037037039</v>
      </c>
      <c r="F438" s="134" t="s">
        <v>1943</v>
      </c>
      <c r="G438">
        <v>741575697782</v>
      </c>
      <c r="H438" s="134" t="s">
        <v>1944</v>
      </c>
      <c r="I438" s="134" t="s">
        <v>154</v>
      </c>
      <c r="J438">
        <v>0</v>
      </c>
      <c r="K438">
        <v>0</v>
      </c>
    </row>
    <row r="439" spans="1:11" x14ac:dyDescent="0.2">
      <c r="A439" s="165">
        <v>45746.984699074077</v>
      </c>
      <c r="B439" s="134" t="s">
        <v>1945</v>
      </c>
      <c r="C439" s="134" t="s">
        <v>1946</v>
      </c>
      <c r="D439" s="165">
        <v>45757</v>
      </c>
      <c r="E439" s="165">
        <v>45787.094085648147</v>
      </c>
      <c r="F439" s="134" t="s">
        <v>1947</v>
      </c>
      <c r="G439">
        <v>4069518203330</v>
      </c>
      <c r="H439" s="134" t="s">
        <v>1948</v>
      </c>
      <c r="I439" s="134" t="s">
        <v>1949</v>
      </c>
      <c r="J439">
        <v>0</v>
      </c>
      <c r="K439">
        <v>0</v>
      </c>
    </row>
    <row r="440" spans="1:11" x14ac:dyDescent="0.2">
      <c r="A440" s="165">
        <v>45746.909502314818</v>
      </c>
      <c r="B440" s="134" t="s">
        <v>1950</v>
      </c>
      <c r="C440" s="134" t="s">
        <v>1951</v>
      </c>
      <c r="D440" s="165">
        <v>45757</v>
      </c>
      <c r="E440" s="165">
        <v>45811.43408564815</v>
      </c>
      <c r="F440" s="134" t="s">
        <v>1952</v>
      </c>
      <c r="G440">
        <v>741575662155</v>
      </c>
      <c r="H440" s="134" t="s">
        <v>1953</v>
      </c>
      <c r="I440" s="134" t="s">
        <v>1954</v>
      </c>
      <c r="J440">
        <v>0</v>
      </c>
      <c r="K440">
        <v>0</v>
      </c>
    </row>
    <row r="441" spans="1:11" x14ac:dyDescent="0.2">
      <c r="A441" s="165">
        <v>45743.378576388888</v>
      </c>
      <c r="B441" s="134" t="s">
        <v>1955</v>
      </c>
      <c r="C441" s="134" t="s">
        <v>1956</v>
      </c>
      <c r="D441" s="165">
        <v>45755</v>
      </c>
      <c r="E441" s="165">
        <v>45783.080057870371</v>
      </c>
      <c r="F441" s="134" t="s">
        <v>1957</v>
      </c>
      <c r="G441">
        <v>4069518038574</v>
      </c>
      <c r="H441" s="134" t="s">
        <v>1958</v>
      </c>
      <c r="I441" s="134" t="s">
        <v>159</v>
      </c>
      <c r="J441">
        <v>0</v>
      </c>
      <c r="K441">
        <v>0</v>
      </c>
    </row>
    <row r="442" spans="1:11" x14ac:dyDescent="0.2">
      <c r="A442" s="165">
        <v>45742.636874999997</v>
      </c>
      <c r="B442" s="134" t="s">
        <v>431</v>
      </c>
      <c r="C442" s="134" t="s">
        <v>1959</v>
      </c>
      <c r="D442" s="165">
        <v>45751</v>
      </c>
      <c r="E442" s="165">
        <v>45811.43408564815</v>
      </c>
      <c r="F442" s="134" t="s">
        <v>1960</v>
      </c>
      <c r="H442" s="134" t="s">
        <v>1961</v>
      </c>
      <c r="I442" s="134" t="s">
        <v>180</v>
      </c>
      <c r="J442">
        <v>0</v>
      </c>
      <c r="K442">
        <v>0</v>
      </c>
    </row>
    <row r="443" spans="1:11" x14ac:dyDescent="0.2">
      <c r="A443" s="165">
        <v>45741.730127314811</v>
      </c>
      <c r="B443" s="134" t="s">
        <v>1962</v>
      </c>
      <c r="C443" s="134" t="s">
        <v>1963</v>
      </c>
      <c r="D443" s="165">
        <v>45751</v>
      </c>
      <c r="E443" s="165">
        <v>45782.083738425928</v>
      </c>
      <c r="F443" s="134" t="s">
        <v>1964</v>
      </c>
      <c r="G443">
        <v>4069518063156</v>
      </c>
      <c r="H443" s="134" t="s">
        <v>1965</v>
      </c>
      <c r="I443" s="134" t="s">
        <v>183</v>
      </c>
      <c r="J443">
        <v>0</v>
      </c>
      <c r="K443">
        <v>0</v>
      </c>
    </row>
    <row r="444" spans="1:11" x14ac:dyDescent="0.2">
      <c r="A444" s="165">
        <v>45734.86886574074</v>
      </c>
      <c r="B444" s="134" t="s">
        <v>1966</v>
      </c>
      <c r="C444" s="134" t="s">
        <v>1967</v>
      </c>
      <c r="D444" s="165">
        <v>45748</v>
      </c>
      <c r="E444" s="165">
        <v>46051.434131944443</v>
      </c>
      <c r="F444" s="134" t="s">
        <v>1968</v>
      </c>
      <c r="G444">
        <v>4069518023006</v>
      </c>
      <c r="H444" s="134" t="s">
        <v>1969</v>
      </c>
      <c r="I444" s="134" t="s">
        <v>195</v>
      </c>
      <c r="J444">
        <v>1</v>
      </c>
      <c r="K444">
        <v>0</v>
      </c>
    </row>
    <row r="445" spans="1:11" x14ac:dyDescent="0.2">
      <c r="A445" s="165">
        <v>45734.86886574074</v>
      </c>
      <c r="B445" s="134" t="s">
        <v>1966</v>
      </c>
      <c r="C445" s="134" t="s">
        <v>1967</v>
      </c>
      <c r="D445" s="165">
        <v>45748</v>
      </c>
      <c r="E445" s="165">
        <v>46051.434131944443</v>
      </c>
      <c r="F445" s="134" t="s">
        <v>1968</v>
      </c>
      <c r="G445">
        <v>4069518023006</v>
      </c>
      <c r="H445" s="134" t="s">
        <v>1969</v>
      </c>
      <c r="I445" s="134" t="s">
        <v>195</v>
      </c>
      <c r="J445">
        <v>1</v>
      </c>
      <c r="K445">
        <v>0</v>
      </c>
    </row>
    <row r="446" spans="1:11" x14ac:dyDescent="0.2">
      <c r="A446" s="165">
        <v>45733.568831018521</v>
      </c>
      <c r="B446" s="134" t="s">
        <v>1970</v>
      </c>
      <c r="C446" s="134" t="s">
        <v>1971</v>
      </c>
      <c r="D446" s="165">
        <v>45748</v>
      </c>
      <c r="E446" s="165">
        <v>45783.069594907407</v>
      </c>
      <c r="F446" s="134" t="s">
        <v>1500</v>
      </c>
      <c r="G446">
        <v>741575697812</v>
      </c>
      <c r="H446" s="134" t="s">
        <v>1972</v>
      </c>
      <c r="I446" s="134" t="s">
        <v>155</v>
      </c>
      <c r="J446">
        <v>1</v>
      </c>
      <c r="K446">
        <v>0</v>
      </c>
    </row>
    <row r="447" spans="1:11" x14ac:dyDescent="0.2">
      <c r="A447" s="165">
        <v>45729.499652777777</v>
      </c>
      <c r="B447" s="134" t="s">
        <v>1973</v>
      </c>
      <c r="C447" s="134" t="s">
        <v>1974</v>
      </c>
      <c r="D447" s="165">
        <v>45740</v>
      </c>
      <c r="E447" s="165">
        <v>45771.764826388891</v>
      </c>
      <c r="F447" s="134" t="s">
        <v>1414</v>
      </c>
      <c r="G447">
        <v>4069518057070</v>
      </c>
      <c r="H447" s="134" t="s">
        <v>1975</v>
      </c>
      <c r="I447" s="134" t="s">
        <v>173</v>
      </c>
      <c r="J447">
        <v>0</v>
      </c>
      <c r="K447">
        <v>0</v>
      </c>
    </row>
    <row r="448" spans="1:11" x14ac:dyDescent="0.2">
      <c r="A448" s="165">
        <v>45725.633912037039</v>
      </c>
      <c r="B448" s="134" t="s">
        <v>1976</v>
      </c>
      <c r="C448" s="134" t="s">
        <v>1977</v>
      </c>
      <c r="D448" s="165">
        <v>45731</v>
      </c>
      <c r="E448" s="165">
        <v>45771.751122685186</v>
      </c>
      <c r="F448" s="134" t="s">
        <v>1860</v>
      </c>
      <c r="G448">
        <v>741575681392</v>
      </c>
      <c r="H448" s="134" t="s">
        <v>1978</v>
      </c>
      <c r="I448" s="134" t="s">
        <v>152</v>
      </c>
      <c r="J448">
        <v>0</v>
      </c>
      <c r="K448">
        <v>0</v>
      </c>
    </row>
    <row r="449" spans="1:11" x14ac:dyDescent="0.2">
      <c r="A449" s="165">
        <v>45723.525902777779</v>
      </c>
      <c r="B449" s="134" t="s">
        <v>1979</v>
      </c>
      <c r="C449" s="134" t="s">
        <v>1980</v>
      </c>
      <c r="D449" s="165">
        <v>45734</v>
      </c>
      <c r="E449" s="165">
        <v>45771.757453703707</v>
      </c>
      <c r="F449" s="134" t="s">
        <v>1947</v>
      </c>
      <c r="G449">
        <v>4069518203330</v>
      </c>
      <c r="H449" s="134" t="s">
        <v>1981</v>
      </c>
      <c r="I449" s="134" t="s">
        <v>1949</v>
      </c>
      <c r="J449">
        <v>0</v>
      </c>
      <c r="K449">
        <v>0</v>
      </c>
    </row>
    <row r="450" spans="1:11" x14ac:dyDescent="0.2">
      <c r="A450" s="165">
        <v>45719.374722222223</v>
      </c>
      <c r="B450" s="134" t="s">
        <v>1982</v>
      </c>
      <c r="C450" s="134" t="s">
        <v>1983</v>
      </c>
      <c r="D450" s="165">
        <v>45724</v>
      </c>
      <c r="E450" s="165">
        <v>45811.43408564815</v>
      </c>
      <c r="F450" s="134" t="s">
        <v>1984</v>
      </c>
      <c r="G450">
        <v>741575664494</v>
      </c>
      <c r="H450" s="134" t="s">
        <v>1985</v>
      </c>
      <c r="I450" s="134" t="s">
        <v>1986</v>
      </c>
      <c r="J450">
        <v>1</v>
      </c>
      <c r="K450">
        <v>0</v>
      </c>
    </row>
    <row r="451" spans="1:11" x14ac:dyDescent="0.2">
      <c r="A451" s="165">
        <v>45711.642418981479</v>
      </c>
      <c r="B451" s="134" t="s">
        <v>1987</v>
      </c>
      <c r="C451" s="134" t="s">
        <v>1988</v>
      </c>
      <c r="D451" s="165">
        <v>45719</v>
      </c>
      <c r="E451" s="165">
        <v>45771.732708333337</v>
      </c>
      <c r="F451" s="134" t="s">
        <v>1989</v>
      </c>
      <c r="G451">
        <v>741575697836</v>
      </c>
      <c r="H451" s="134" t="s">
        <v>1990</v>
      </c>
      <c r="I451" s="134" t="s">
        <v>156</v>
      </c>
      <c r="J451">
        <v>0</v>
      </c>
      <c r="K451">
        <v>0</v>
      </c>
    </row>
    <row r="452" spans="1:11" x14ac:dyDescent="0.2">
      <c r="A452" s="165">
        <v>45707.842465277776</v>
      </c>
      <c r="B452" s="134" t="s">
        <v>1991</v>
      </c>
      <c r="C452" s="134" t="s">
        <v>1992</v>
      </c>
      <c r="D452" s="165">
        <v>45715</v>
      </c>
      <c r="E452" s="165">
        <v>45771.731087962966</v>
      </c>
      <c r="F452" s="134" t="s">
        <v>1993</v>
      </c>
      <c r="G452">
        <v>741575665866</v>
      </c>
      <c r="H452" s="134" t="s">
        <v>1994</v>
      </c>
      <c r="I452" s="134" t="s">
        <v>1995</v>
      </c>
      <c r="J452">
        <v>0</v>
      </c>
      <c r="K452">
        <v>0</v>
      </c>
    </row>
    <row r="453" spans="1:11" x14ac:dyDescent="0.2">
      <c r="A453" s="165">
        <v>45698.823946759258</v>
      </c>
      <c r="B453" s="134" t="s">
        <v>1996</v>
      </c>
      <c r="C453" s="134" t="s">
        <v>1997</v>
      </c>
      <c r="D453" s="165">
        <v>45705</v>
      </c>
      <c r="E453" s="165">
        <v>45771.728379629632</v>
      </c>
      <c r="F453" s="134" t="s">
        <v>1998</v>
      </c>
      <c r="G453">
        <v>4069518022368</v>
      </c>
      <c r="H453" s="134" t="s">
        <v>1999</v>
      </c>
      <c r="I453" s="134" t="s">
        <v>192</v>
      </c>
      <c r="J453">
        <v>0</v>
      </c>
      <c r="K453">
        <v>0</v>
      </c>
    </row>
    <row r="454" spans="1:11" x14ac:dyDescent="0.2">
      <c r="A454" s="165">
        <v>45698.276087962964</v>
      </c>
      <c r="B454" s="134" t="s">
        <v>431</v>
      </c>
      <c r="C454" s="134" t="s">
        <v>2000</v>
      </c>
      <c r="D454" s="165">
        <v>45705</v>
      </c>
      <c r="E454" s="165">
        <v>45862.500127314815</v>
      </c>
      <c r="F454" s="134" t="s">
        <v>2001</v>
      </c>
      <c r="G454">
        <v>4069518014561</v>
      </c>
      <c r="H454" s="134" t="s">
        <v>2002</v>
      </c>
      <c r="I454" s="134" t="s">
        <v>2003</v>
      </c>
      <c r="J454">
        <v>0</v>
      </c>
      <c r="K454">
        <v>0</v>
      </c>
    </row>
    <row r="455" spans="1:11" x14ac:dyDescent="0.2">
      <c r="A455" s="165">
        <v>45693.89503472222</v>
      </c>
      <c r="B455" s="134" t="s">
        <v>2004</v>
      </c>
      <c r="C455" s="134" t="s">
        <v>2005</v>
      </c>
      <c r="D455" s="165">
        <v>45702</v>
      </c>
      <c r="E455" s="165">
        <v>45771.725532407407</v>
      </c>
      <c r="F455" s="134" t="s">
        <v>2006</v>
      </c>
      <c r="G455">
        <v>4069518023730</v>
      </c>
      <c r="H455" s="134" t="s">
        <v>2007</v>
      </c>
      <c r="I455" s="134" t="s">
        <v>2008</v>
      </c>
      <c r="J455">
        <v>0</v>
      </c>
      <c r="K455">
        <v>0</v>
      </c>
    </row>
    <row r="456" spans="1:11" x14ac:dyDescent="0.2">
      <c r="A456" s="165">
        <v>45687.979594907411</v>
      </c>
      <c r="B456" s="134" t="s">
        <v>2009</v>
      </c>
      <c r="C456" s="134" t="s">
        <v>2010</v>
      </c>
      <c r="D456" s="165">
        <v>45696</v>
      </c>
      <c r="E456" s="165">
        <v>45771.720532407409</v>
      </c>
      <c r="F456" s="134" t="s">
        <v>1790</v>
      </c>
      <c r="G456">
        <v>4069518057063</v>
      </c>
      <c r="H456" s="134" t="s">
        <v>2011</v>
      </c>
      <c r="I456" s="134" t="s">
        <v>172</v>
      </c>
      <c r="J456">
        <v>0</v>
      </c>
      <c r="K456">
        <v>0</v>
      </c>
    </row>
    <row r="457" spans="1:11" x14ac:dyDescent="0.2">
      <c r="A457" s="165">
        <v>45680.843310185184</v>
      </c>
      <c r="B457" s="134" t="s">
        <v>2012</v>
      </c>
      <c r="C457" s="134" t="s">
        <v>2013</v>
      </c>
      <c r="D457" s="165">
        <v>45687</v>
      </c>
      <c r="E457" s="165">
        <v>45771.722604166665</v>
      </c>
      <c r="F457" s="134" t="s">
        <v>1314</v>
      </c>
      <c r="G457">
        <v>741575681354</v>
      </c>
      <c r="H457" s="134" t="s">
        <v>2014</v>
      </c>
      <c r="I457" s="134" t="s">
        <v>149</v>
      </c>
      <c r="J457">
        <v>0</v>
      </c>
      <c r="K457">
        <v>0</v>
      </c>
    </row>
    <row r="458" spans="1:11" x14ac:dyDescent="0.2">
      <c r="A458" s="165">
        <v>45676.973414351851</v>
      </c>
      <c r="B458" s="134" t="s">
        <v>2015</v>
      </c>
      <c r="C458" s="134" t="s">
        <v>2016</v>
      </c>
      <c r="D458" s="165">
        <v>45684</v>
      </c>
      <c r="E458" s="165">
        <v>45771.722256944442</v>
      </c>
      <c r="F458" s="134" t="s">
        <v>1790</v>
      </c>
      <c r="G458">
        <v>4069518057063</v>
      </c>
      <c r="H458" s="134" t="s">
        <v>2017</v>
      </c>
      <c r="I458" s="134" t="s">
        <v>172</v>
      </c>
      <c r="J458">
        <v>1</v>
      </c>
      <c r="K458">
        <v>0</v>
      </c>
    </row>
    <row r="459" spans="1:11" x14ac:dyDescent="0.2">
      <c r="A459" s="165">
        <v>45669.442048611112</v>
      </c>
      <c r="B459" s="134" t="s">
        <v>2018</v>
      </c>
      <c r="C459" s="134" t="s">
        <v>2019</v>
      </c>
      <c r="D459" s="165">
        <v>45678</v>
      </c>
      <c r="E459" s="165">
        <v>45771.721770833334</v>
      </c>
      <c r="F459" s="134" t="s">
        <v>1372</v>
      </c>
      <c r="G459">
        <v>741575686410</v>
      </c>
      <c r="H459" s="134" t="s">
        <v>2020</v>
      </c>
      <c r="I459" s="134" t="s">
        <v>1374</v>
      </c>
      <c r="J459">
        <v>0</v>
      </c>
      <c r="K459">
        <v>0</v>
      </c>
    </row>
    <row r="460" spans="1:11" x14ac:dyDescent="0.2">
      <c r="A460" s="165">
        <v>45662.377060185187</v>
      </c>
      <c r="B460" s="134" t="s">
        <v>2021</v>
      </c>
      <c r="C460" s="134" t="s">
        <v>2022</v>
      </c>
      <c r="D460" s="165">
        <v>45674</v>
      </c>
      <c r="E460" s="165">
        <v>45771.720694444448</v>
      </c>
      <c r="F460" s="134" t="s">
        <v>1860</v>
      </c>
      <c r="G460">
        <v>741575681392</v>
      </c>
      <c r="H460" s="134" t="s">
        <v>2023</v>
      </c>
      <c r="I460" s="134" t="s">
        <v>152</v>
      </c>
      <c r="J460">
        <v>0</v>
      </c>
      <c r="K460">
        <v>0</v>
      </c>
    </row>
    <row r="461" spans="1:11" x14ac:dyDescent="0.2">
      <c r="A461" s="165">
        <v>45646.661076388889</v>
      </c>
      <c r="B461" s="134" t="s">
        <v>2024</v>
      </c>
      <c r="C461" s="134" t="s">
        <v>2025</v>
      </c>
      <c r="D461" s="165">
        <v>45659</v>
      </c>
      <c r="E461" s="165">
        <v>45771.719340277778</v>
      </c>
      <c r="F461" s="134" t="s">
        <v>1314</v>
      </c>
      <c r="G461">
        <v>741575681354</v>
      </c>
      <c r="H461" s="134" t="s">
        <v>2026</v>
      </c>
      <c r="I461" s="134" t="s">
        <v>149</v>
      </c>
      <c r="J461">
        <v>0</v>
      </c>
      <c r="K461">
        <v>0</v>
      </c>
    </row>
    <row r="462" spans="1:11" x14ac:dyDescent="0.2">
      <c r="A462" s="165">
        <v>45639.682847222219</v>
      </c>
      <c r="B462" s="134" t="s">
        <v>2027</v>
      </c>
      <c r="C462" s="134" t="s">
        <v>2028</v>
      </c>
      <c r="D462" s="165">
        <v>45649</v>
      </c>
      <c r="E462" s="165">
        <v>45771.7577662037</v>
      </c>
      <c r="F462" s="134" t="s">
        <v>2029</v>
      </c>
      <c r="G462">
        <v>741575678712</v>
      </c>
      <c r="H462" s="134" t="s">
        <v>2030</v>
      </c>
      <c r="I462" s="134" t="s">
        <v>141</v>
      </c>
      <c r="J462">
        <v>0</v>
      </c>
      <c r="K462">
        <v>0</v>
      </c>
    </row>
    <row r="463" spans="1:11" x14ac:dyDescent="0.2">
      <c r="A463" s="165">
        <v>45637.396736111114</v>
      </c>
      <c r="B463" s="134" t="s">
        <v>2031</v>
      </c>
      <c r="C463" s="134" t="s">
        <v>2032</v>
      </c>
      <c r="D463" s="165">
        <v>45649</v>
      </c>
      <c r="E463" s="165">
        <v>45771.716493055559</v>
      </c>
      <c r="F463" s="134" t="s">
        <v>2033</v>
      </c>
      <c r="G463">
        <v>741575681361</v>
      </c>
      <c r="H463" s="134" t="s">
        <v>2034</v>
      </c>
      <c r="I463" s="134" t="s">
        <v>150</v>
      </c>
      <c r="J463">
        <v>0</v>
      </c>
      <c r="K463">
        <v>0</v>
      </c>
    </row>
    <row r="464" spans="1:11" x14ac:dyDescent="0.2">
      <c r="A464" s="165">
        <v>45635.361041666663</v>
      </c>
      <c r="B464" s="134" t="s">
        <v>2035</v>
      </c>
      <c r="C464" s="134" t="s">
        <v>2036</v>
      </c>
      <c r="D464" s="165">
        <v>45646</v>
      </c>
      <c r="E464" s="165">
        <v>45771.716111111113</v>
      </c>
      <c r="F464" s="134" t="s">
        <v>1414</v>
      </c>
      <c r="G464">
        <v>4069518057070</v>
      </c>
      <c r="H464" s="134" t="s">
        <v>2037</v>
      </c>
      <c r="I464" s="134" t="s">
        <v>173</v>
      </c>
      <c r="J464">
        <v>0</v>
      </c>
      <c r="K464">
        <v>0</v>
      </c>
    </row>
    <row r="465" spans="1:11" x14ac:dyDescent="0.2">
      <c r="A465" s="165">
        <v>45631.932812500003</v>
      </c>
      <c r="B465" s="134" t="s">
        <v>2038</v>
      </c>
      <c r="C465" s="134" t="s">
        <v>2039</v>
      </c>
      <c r="D465" s="165">
        <v>45643</v>
      </c>
      <c r="E465" s="165">
        <v>45771.716493055559</v>
      </c>
      <c r="F465" s="134" t="s">
        <v>2040</v>
      </c>
      <c r="G465">
        <v>741575698055</v>
      </c>
      <c r="H465" s="134" t="s">
        <v>2041</v>
      </c>
      <c r="I465" s="134" t="s">
        <v>158</v>
      </c>
      <c r="J465">
        <v>0</v>
      </c>
      <c r="K465">
        <v>0</v>
      </c>
    </row>
    <row r="466" spans="1:11" x14ac:dyDescent="0.2">
      <c r="A466" s="165">
        <v>45629.463518518518</v>
      </c>
      <c r="B466" s="134" t="s">
        <v>2042</v>
      </c>
      <c r="C466" s="134" t="s">
        <v>2043</v>
      </c>
      <c r="D466" s="165">
        <v>45643</v>
      </c>
      <c r="E466" s="165">
        <v>45771.71502314815</v>
      </c>
      <c r="F466" s="134" t="s">
        <v>2044</v>
      </c>
      <c r="G466">
        <v>741575681385</v>
      </c>
      <c r="H466" s="134" t="s">
        <v>2045</v>
      </c>
      <c r="I466" s="134" t="s">
        <v>151</v>
      </c>
      <c r="J466">
        <v>1</v>
      </c>
      <c r="K466">
        <v>0</v>
      </c>
    </row>
    <row r="467" spans="1:11" x14ac:dyDescent="0.2">
      <c r="A467" s="165">
        <v>45625.016805555555</v>
      </c>
      <c r="B467" s="134" t="s">
        <v>2046</v>
      </c>
      <c r="C467" s="134" t="s">
        <v>2047</v>
      </c>
      <c r="D467" s="165">
        <v>45633</v>
      </c>
      <c r="E467" s="165">
        <v>45973.586956018517</v>
      </c>
      <c r="F467" s="134" t="s">
        <v>431</v>
      </c>
      <c r="H467" s="134" t="s">
        <v>2048</v>
      </c>
      <c r="I467" s="134" t="s">
        <v>431</v>
      </c>
      <c r="J467">
        <v>0</v>
      </c>
      <c r="K467">
        <v>0</v>
      </c>
    </row>
    <row r="468" spans="1:11" x14ac:dyDescent="0.2">
      <c r="A468" s="165">
        <v>45613.863668981481</v>
      </c>
      <c r="B468" s="134" t="s">
        <v>2049</v>
      </c>
      <c r="C468" s="134" t="s">
        <v>2050</v>
      </c>
      <c r="D468" s="165">
        <v>45624</v>
      </c>
      <c r="E468" s="165">
        <v>45771.710023148145</v>
      </c>
      <c r="F468" s="134" t="s">
        <v>1618</v>
      </c>
      <c r="G468">
        <v>741575679474</v>
      </c>
      <c r="H468" s="134" t="s">
        <v>2051</v>
      </c>
      <c r="I468" s="134" t="s">
        <v>145</v>
      </c>
      <c r="J468">
        <v>0</v>
      </c>
      <c r="K468">
        <v>0</v>
      </c>
    </row>
    <row r="469" spans="1:11" x14ac:dyDescent="0.2">
      <c r="A469" s="165">
        <v>45609.743379629632</v>
      </c>
      <c r="B469" s="134" t="s">
        <v>2052</v>
      </c>
      <c r="C469" s="134" t="s">
        <v>2053</v>
      </c>
      <c r="D469" s="165">
        <v>45619</v>
      </c>
      <c r="E469" s="165">
        <v>45771.70821759259</v>
      </c>
      <c r="F469" s="134" t="s">
        <v>2054</v>
      </c>
      <c r="G469">
        <v>4069518060407</v>
      </c>
      <c r="H469" s="134" t="s">
        <v>2055</v>
      </c>
      <c r="I469" s="134" t="s">
        <v>179</v>
      </c>
      <c r="J469">
        <v>0</v>
      </c>
      <c r="K469">
        <v>0</v>
      </c>
    </row>
    <row r="470" spans="1:11" x14ac:dyDescent="0.2">
      <c r="A470" s="165">
        <v>45609.743379629632</v>
      </c>
      <c r="B470" s="134" t="s">
        <v>2052</v>
      </c>
      <c r="C470" s="134" t="s">
        <v>2053</v>
      </c>
      <c r="D470" s="165">
        <v>45619</v>
      </c>
      <c r="E470" s="165">
        <v>45771.70821759259</v>
      </c>
      <c r="F470" s="134" t="s">
        <v>2054</v>
      </c>
      <c r="G470">
        <v>4069518060407</v>
      </c>
      <c r="H470" s="134" t="s">
        <v>2055</v>
      </c>
      <c r="I470" s="134" t="s">
        <v>179</v>
      </c>
      <c r="J470">
        <v>0</v>
      </c>
      <c r="K470">
        <v>0</v>
      </c>
    </row>
    <row r="471" spans="1:11" x14ac:dyDescent="0.2">
      <c r="A471" s="165">
        <v>45599.419560185182</v>
      </c>
      <c r="B471" s="134" t="s">
        <v>431</v>
      </c>
      <c r="C471" s="134" t="s">
        <v>431</v>
      </c>
      <c r="D471" s="165">
        <v>45607</v>
      </c>
      <c r="E471" s="165">
        <v>45771.705659722225</v>
      </c>
      <c r="F471" s="134" t="s">
        <v>2056</v>
      </c>
      <c r="G471">
        <v>4069518038772</v>
      </c>
      <c r="H471" s="134" t="s">
        <v>2057</v>
      </c>
      <c r="I471" s="134" t="s">
        <v>160</v>
      </c>
      <c r="J471">
        <v>0</v>
      </c>
      <c r="K471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EB50B5-FA06-D749-9523-BCF8447E0C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📊 Übersicht</vt:lpstr>
      <vt:lpstr>📈 Umsatz</vt:lpstr>
      <vt:lpstr>⚖️ Parität</vt:lpstr>
      <vt:lpstr>🔄 Retouren &amp; Verzüge</vt:lpstr>
      <vt:lpstr>🛒 Sortiment</vt:lpstr>
      <vt:lpstr>Order_repriced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Haag</cp:lastModifiedBy>
  <cp:revision>2</cp:revision>
  <dcterms:created xsi:type="dcterms:W3CDTF">2026-03-05T08:43:31Z</dcterms:created>
  <dcterms:modified xsi:type="dcterms:W3CDTF">2026-03-13T12:29:33Z</dcterms:modified>
  <dc:language>en-US</dc:language>
</cp:coreProperties>
</file>