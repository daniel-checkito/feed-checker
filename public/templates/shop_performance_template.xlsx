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niel.haag/feed-checker/public/templates/"/>
    </mc:Choice>
  </mc:AlternateContent>
  <xr:revisionPtr revIDLastSave="0" documentId="13_ncr:1_{B1CFAD3D-80DE-C34A-9307-CD51033B486C}" xr6:coauthVersionLast="47" xr6:coauthVersionMax="47" xr10:uidLastSave="{00000000-0000-0000-0000-000000000000}"/>
  <bookViews>
    <workbookView xWindow="-23760" yWindow="-21000" windowWidth="38400" windowHeight="21000" tabRatio="500" xr2:uid="{00000000-000D-0000-FFFF-FFFF00000000}"/>
  </bookViews>
  <sheets>
    <sheet name="📊 Übersicht" sheetId="1" r:id="rId1"/>
    <sheet name="📈 Umsatz" sheetId="2" r:id="rId2"/>
    <sheet name="⚖️ Parität" sheetId="3" r:id="rId3"/>
    <sheet name="🔄 Retouren &amp; Verzüge" sheetId="4" r:id="rId4"/>
    <sheet name="🛒 Sorti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2" l="1"/>
  <c r="E31" i="2"/>
  <c r="E32" i="2"/>
  <c r="E33" i="2"/>
  <c r="E34" i="2"/>
  <c r="E35" i="2"/>
  <c r="E36" i="2"/>
  <c r="E37" i="2"/>
  <c r="E38" i="2"/>
  <c r="E39" i="2"/>
  <c r="E40" i="2"/>
  <c r="E45" i="2"/>
  <c r="E46" i="2"/>
  <c r="E47" i="2"/>
  <c r="E48" i="2"/>
  <c r="E49" i="2"/>
  <c r="E50" i="2"/>
  <c r="E51" i="2"/>
  <c r="E52" i="2"/>
  <c r="E53" i="2"/>
  <c r="E54" i="2"/>
  <c r="E55" i="2"/>
  <c r="B25" i="2"/>
  <c r="C25" i="2"/>
  <c r="D25" i="2" s="1"/>
  <c r="D40" i="2"/>
  <c r="D55" i="2"/>
</calcChain>
</file>

<file path=xl/sharedStrings.xml><?xml version="1.0" encoding="utf-8"?>
<sst xmlns="http://schemas.openxmlformats.org/spreadsheetml/2006/main" count="120" uniqueCount="100">
  <si>
    <t>Schnittstelle</t>
  </si>
  <si>
    <t>OpenTrans Format</t>
  </si>
  <si>
    <t>Partner seit</t>
  </si>
  <si>
    <t>Provision</t>
  </si>
  <si>
    <t>Angebotsfeed</t>
  </si>
  <si>
    <t>Ansprechpartner</t>
  </si>
  <si>
    <t>Bestellpositionen</t>
  </si>
  <si>
    <t>Umsatz (€)</t>
  </si>
  <si>
    <t>Stornoquote</t>
  </si>
  <si>
    <t>Retourenquote</t>
  </si>
  <si>
    <t>Kennzahl</t>
  </si>
  <si>
    <t>Trend</t>
  </si>
  <si>
    <t>Shop-induz. Stornoquote</t>
  </si>
  <si>
    <t>Goodwill Ratio</t>
  </si>
  <si>
    <t>Verzugsquote (gesamt)</t>
  </si>
  <si>
    <t>Verzugsquote (Shop)</t>
  </si>
  <si>
    <t>Küchen Preisbombe  |  Monatsumsatz &amp; Bestellpositionen</t>
  </si>
  <si>
    <t>Monat</t>
  </si>
  <si>
    <t>Ø Warenkorbwert (€)</t>
  </si>
  <si>
    <t>Ggü. Vormonat (%)</t>
  </si>
  <si>
    <t>GESAMT</t>
  </si>
  <si>
    <t>🏆  Top 10 Produkte nach Umsatz</t>
  </si>
  <si>
    <t>#</t>
  </si>
  <si>
    <t>Produkt</t>
  </si>
  <si>
    <t>Views (Mio.)</t>
  </si>
  <si>
    <t>Anteil am Gesamtumsatz</t>
  </si>
  <si>
    <t>Top 10 Gesamt</t>
  </si>
  <si>
    <t>📦  Umsatz nach Kategorie</t>
  </si>
  <si>
    <t>Kategorie</t>
  </si>
  <si>
    <t>Bestellungen</t>
  </si>
  <si>
    <t>Gesamtumsatz</t>
  </si>
  <si>
    <t>Küchen Preisbombe  |  Preisparität (Plattformvergleich)</t>
  </si>
  <si>
    <t>Anteil</t>
  </si>
  <si>
    <t>Bewertung</t>
  </si>
  <si>
    <t>Bestpreis (mit Preisanpassung)</t>
  </si>
  <si>
    <t>Bestpreis (ohne Preisanpassung)</t>
  </si>
  <si>
    <t>bis 2% über Bestpreis</t>
  </si>
  <si>
    <t>2–5% über Bestpreis</t>
  </si>
  <si>
    <t>5–10% über Bestpreis</t>
  </si>
  <si>
    <t>mehr als 10% über Bestpreis</t>
  </si>
  <si>
    <t>Teurer als Meta</t>
  </si>
  <si>
    <t>Teurer als Amazon</t>
  </si>
  <si>
    <t>Teurer als OTTO</t>
  </si>
  <si>
    <t>TAGESVERLAUF PARITÄT (letzten 30 Tage)</t>
  </si>
  <si>
    <t>Datum</t>
  </si>
  <si>
    <t>Angebote</t>
  </si>
  <si>
    <t>Meta (%)</t>
  </si>
  <si>
    <t>Amazon (%)</t>
  </si>
  <si>
    <t>OTTO (%)</t>
  </si>
  <si>
    <t>Küchen Preisbombe  |  Retouren &amp; Lieferverzüge</t>
  </si>
  <si>
    <t>RETOURENGRÜNDE 2025 (Anteile)</t>
  </si>
  <si>
    <t>Grund</t>
  </si>
  <si>
    <t>Falsche Teile (wrong_parts)</t>
  </si>
  <si>
    <t>Fehlende Teile (parts_missing)</t>
  </si>
  <si>
    <t>Beschädigtes Produkt (damaged)</t>
  </si>
  <si>
    <t>Beschädigte Verpackung (packaging)</t>
  </si>
  <si>
    <t>Inkompatibel (incompatible)</t>
  </si>
  <si>
    <t>Versehentlich bestellt</t>
  </si>
  <si>
    <t>Qualitätsmangel (quality)</t>
  </si>
  <si>
    <t>Günstigerer Preis gefunden</t>
  </si>
  <si>
    <t>LIEFERVERZÜGE 2025</t>
  </si>
  <si>
    <t>Wert</t>
  </si>
  <si>
    <t>Verzüge gesamt (2025)</t>
  </si>
  <si>
    <t>Verzugsquote gesamt</t>
  </si>
  <si>
    <t>davon Paketware</t>
  </si>
  <si>
    <t>davon Spedition</t>
  </si>
  <si>
    <t>Verzugsquote (2024)</t>
  </si>
  <si>
    <t>Verbesserung</t>
  </si>
  <si>
    <t>Küchen Preisbombe  |  Sortiment</t>
  </si>
  <si>
    <t>SORTIMENT-ÜBERSICHT</t>
  </si>
  <si>
    <t>Anzahl</t>
  </si>
  <si>
    <t>Anteil / Hinweis</t>
  </si>
  <si>
    <t>Angebote gesamt</t>
  </si>
  <si>
    <t>Nicht vorrätig</t>
  </si>
  <si>
    <t>Preisangabe fehlerhaft</t>
  </si>
  <si>
    <t>Lieferzeit fehlt</t>
  </si>
  <si>
    <t>Kein Bild</t>
  </si>
  <si>
    <t xml:space="preserve">📌  Notiz: </t>
  </si>
  <si>
    <t>Seller_key</t>
  </si>
  <si>
    <t>Jahr</t>
  </si>
  <si>
    <t>0.0%</t>
  </si>
  <si>
    <t>≈ gleich</t>
  </si>
  <si>
    <t>11.6%</t>
  </si>
  <si>
    <t>4.1%</t>
  </si>
  <si>
    <t>88.4%</t>
  </si>
  <si>
    <t>93.4%</t>
  </si>
  <si>
    <t>Allgemeine Daten</t>
  </si>
  <si>
    <t>ÜBERSICHT PARITÄT</t>
  </si>
  <si>
    <t>GESCHÄFTSENTWICKLUNG 2024 → 2025</t>
  </si>
  <si>
    <t>QUALITÄTSKENNZAHLEN 2024 vs 2025</t>
  </si>
  <si>
    <t xml:space="preserve"> | Partner-Analyse</t>
  </si>
  <si>
    <t>4770.1</t>
  </si>
  <si>
    <t>▼ stark besser</t>
  </si>
  <si>
    <t>▲ stark schlechter</t>
  </si>
  <si>
    <t>✅ POSITIV</t>
  </si>
  <si>
    <t>⚠️ NEGATIV</t>
  </si>
  <si>
    <t>🎯 MINIMAL-ZIEL</t>
  </si>
  <si>
    <t>🏆 MAXIMAL-ZIEL</t>
  </si>
  <si>
    <t>Starkes Umsatzwachstum (&gt;20% YoY)</t>
  </si>
  <si>
    <t>Hinweis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</si>
</sst>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€&quot;"/>
    <numFmt numFmtId="165" formatCode="\+0.0%;\-0.0%;\-"/>
    <numFmt numFmtId="166" formatCode="0.0%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375623"/>
      <name val="Arial"/>
      <family val="2"/>
    </font>
    <font>
      <sz val="10"/>
      <color rgb="FFC00000"/>
      <name val="Arial"/>
      <family val="2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Cambria"/>
      <family val="1"/>
    </font>
    <font>
      <b/>
      <sz val="10"/>
      <color rgb="FFFFFFFF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i/>
      <sz val="10"/>
      <color rgb="FF7F6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E4D8A"/>
      </patternFill>
    </fill>
    <fill>
      <patternFill patternType="solid">
        <fgColor rgb="FF2F5496"/>
        <bgColor rgb="FF2E4D8A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4472C4"/>
        <bgColor rgb="FF2F5496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595959"/>
        <bgColor rgb="FF375623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D6E4BC"/>
        <bgColor rgb="FFD9D9D9"/>
      </patternFill>
    </fill>
    <fill>
      <patternFill patternType="solid">
        <fgColor rgb="FFF8D0C4"/>
        <bgColor rgb="FFFCE4D6"/>
      </patternFill>
    </fill>
    <fill>
      <patternFill patternType="solid">
        <fgColor rgb="FFD6E8F5"/>
        <bgColor rgb="FFE2EFDA"/>
      </patternFill>
    </fill>
    <fill>
      <patternFill patternType="solid">
        <fgColor rgb="FF2E4D8A"/>
        <bgColor rgb="FF2F5496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left" vertical="center"/>
    </xf>
    <xf numFmtId="3" fontId="4" fillId="15" borderId="2" xfId="0" applyNumberFormat="1" applyFont="1" applyFill="1" applyBorder="1" applyAlignment="1">
      <alignment horizontal="center" vertical="center"/>
    </xf>
    <xf numFmtId="164" fontId="4" fillId="15" borderId="2" xfId="0" applyNumberFormat="1" applyFont="1" applyFill="1" applyBorder="1" applyAlignment="1">
      <alignment horizontal="right" vertical="center"/>
    </xf>
    <xf numFmtId="164" fontId="9" fillId="15" borderId="2" xfId="0" applyNumberFormat="1" applyFont="1" applyFill="1" applyBorder="1" applyAlignment="1">
      <alignment horizontal="right" vertical="center"/>
    </xf>
    <xf numFmtId="165" fontId="9" fillId="15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165" fontId="9" fillId="7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11" fillId="2" borderId="0" xfId="0" applyFont="1" applyFill="1" applyAlignment="1">
      <alignment horizontal="center" vertical="center" wrapText="1"/>
    </xf>
    <xf numFmtId="1" fontId="12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3" fontId="13" fillId="4" borderId="0" xfId="0" applyNumberFormat="1" applyFont="1" applyFill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166" fontId="13" fillId="4" borderId="0" xfId="0" applyNumberFormat="1" applyFont="1" applyFill="1" applyAlignment="1">
      <alignment horizontal="center" vertical="center"/>
    </xf>
    <xf numFmtId="1" fontId="12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3" fontId="13" fillId="5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166" fontId="13" fillId="5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0" fillId="9" borderId="2" xfId="0" applyFill="1" applyBorder="1"/>
    <xf numFmtId="0" fontId="0" fillId="4" borderId="2" xfId="0" applyFill="1" applyBorder="1"/>
    <xf numFmtId="0" fontId="0" fillId="5" borderId="2" xfId="0" applyFill="1" applyBorder="1"/>
    <xf numFmtId="0" fontId="3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3" fillId="10" borderId="2" xfId="0" applyFont="1" applyFill="1" applyBorder="1" applyAlignment="1">
      <alignment horizontal="left" vertical="center"/>
    </xf>
    <xf numFmtId="3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left" vertical="center"/>
    </xf>
    <xf numFmtId="3" fontId="4" fillId="17" borderId="2" xfId="0" applyNumberFormat="1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3" fontId="3" fillId="7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4" fillId="17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6E8F5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D9D9"/>
      <rgbColor rgb="FFF9F9F9"/>
      <rgbColor rgb="FFD6E4BC"/>
      <rgbColor rgb="FFF8D0C4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4D8A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Monatlicher Umsatz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Umsatz'!$C$3</c:f>
              <c:strCache>
                <c:ptCount val="1"/>
                <c:pt idx="0">
                  <c:v>Umsatz (€)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'📈 Umsatz'!$A$4:$A$24</c:f>
              <c:numCache>
                <c:formatCode>General</c:formatCode>
                <c:ptCount val="21"/>
              </c:numCache>
            </c:numRef>
          </c:cat>
          <c:val>
            <c:numRef>
              <c:f>'📈 Umsatz'!$C$4:$C$24</c:f>
              <c:numCache>
                <c:formatCode>#,##0.00" €"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B65A-6643-9387-F3A29B42F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41763"/>
        <c:axId val="86429499"/>
      </c:barChart>
      <c:catAx>
        <c:axId val="41341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Monat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6429499"/>
        <c:crosses val="autoZero"/>
        <c:auto val="1"/>
        <c:lblAlgn val="ctr"/>
        <c:lblOffset val="100"/>
        <c:noMultiLvlLbl val="0"/>
      </c:catAx>
      <c:valAx>
        <c:axId val="86429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Umsatz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1341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Anzahl der Angebote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'⚖️ Parität'!$B$18:$B$47</c:f>
              <c:numCache>
                <c:formatCode>General</c:formatCode>
                <c:ptCount val="30"/>
              </c:numCache>
            </c:numRef>
          </c:cat>
          <c:val>
            <c:numRef>
              <c:f>'⚖️ Parität'!$C$18:$C$47</c:f>
              <c:numCache>
                <c:formatCode>#,##0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AE-1E47-A173-9175F8BBF528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'⚖️ Parität'!$B$18:$B$47</c:f>
              <c:numCache>
                <c:formatCode>General</c:formatCode>
                <c:ptCount val="30"/>
              </c:numCache>
            </c:numRef>
          </c:cat>
          <c:val>
            <c:numRef>
              <c:f>'⚖️ Parität'!$C$18:$C$47</c:f>
              <c:numCache>
                <c:formatCode>#,##0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AE-1E47-A173-9175F8BBF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318143"/>
        <c:axId val="1394917375"/>
      </c:lineChart>
      <c:catAx>
        <c:axId val="138531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4917375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9491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531814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Preis-Parität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'⚖️ Parität'!$D$17</c:f>
              <c:strCache>
                <c:ptCount val="1"/>
                <c:pt idx="0">
                  <c:v>Meta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'⚖️ Parität'!$B$18:$B$47</c:f>
              <c:numCache>
                <c:formatCode>General</c:formatCode>
                <c:ptCount val="30"/>
              </c:numCache>
            </c:numRef>
          </c:cat>
          <c:val>
            <c:numRef>
              <c:f>'⚖️ Parität'!$D$18:$D$47</c:f>
              <c:numCache>
                <c:formatCode>0.0%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1-D441-A76A-F8BAF84A3BDF}"/>
            </c:ext>
          </c:extLst>
        </c:ser>
        <c:ser>
          <c:idx val="1"/>
          <c:order val="1"/>
          <c:tx>
            <c:strRef>
              <c:f>'⚖️ Parität'!$E$17</c:f>
              <c:strCache>
                <c:ptCount val="1"/>
                <c:pt idx="0">
                  <c:v>Amazon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'⚖️ Parität'!$B$18:$B$47</c:f>
              <c:numCache>
                <c:formatCode>General</c:formatCode>
                <c:ptCount val="30"/>
              </c:numCache>
            </c:numRef>
          </c:cat>
          <c:val>
            <c:numRef>
              <c:f>'⚖️ Parität'!$E$18:$E$47</c:f>
              <c:numCache>
                <c:formatCode>0.0%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1-D441-A76A-F8BAF84A3BDF}"/>
            </c:ext>
          </c:extLst>
        </c:ser>
        <c:ser>
          <c:idx val="2"/>
          <c:order val="2"/>
          <c:tx>
            <c:strRef>
              <c:f>'⚖️ Parität'!$F$17</c:f>
              <c:strCache>
                <c:ptCount val="1"/>
                <c:pt idx="0">
                  <c:v>OTTO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'⚖️ Parität'!$B$18:$B$47</c:f>
              <c:numCache>
                <c:formatCode>General</c:formatCode>
                <c:ptCount val="30"/>
              </c:numCache>
            </c:numRef>
          </c:cat>
          <c:val>
            <c:numRef>
              <c:f>'⚖️ Parität'!$F$18:$F$47</c:f>
              <c:numCache>
                <c:formatCode>0.0%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1-D441-A76A-F8BAF84A3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390207"/>
        <c:axId val="1432008255"/>
      </c:lineChart>
      <c:catAx>
        <c:axId val="137639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2008255"/>
        <c:crosses val="autoZero"/>
        <c:auto val="1"/>
        <c:lblAlgn val="ctr"/>
        <c:lblOffset val="100"/>
        <c:noMultiLvlLbl val="0"/>
      </c:catAx>
      <c:valAx>
        <c:axId val="14320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63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761999</xdr:colOff>
      <xdr:row>3</xdr:row>
      <xdr:rowOff>100213</xdr:rowOff>
    </xdr:from>
    <xdr:to>
      <xdr:col>20</xdr:col>
      <xdr:colOff>471226</xdr:colOff>
      <xdr:row>23</xdr:row>
      <xdr:rowOff>115982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416278</xdr:colOff>
      <xdr:row>16</xdr:row>
      <xdr:rowOff>222955</xdr:rowOff>
    </xdr:from>
    <xdr:to>
      <xdr:col>14</xdr:col>
      <xdr:colOff>345722</xdr:colOff>
      <xdr:row>30</xdr:row>
      <xdr:rowOff>172155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CD1E618-6801-0BBC-7D95-DB19193FA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465667</xdr:colOff>
      <xdr:row>33</xdr:row>
      <xdr:rowOff>95954</xdr:rowOff>
    </xdr:from>
    <xdr:to>
      <xdr:col>14</xdr:col>
      <xdr:colOff>395111</xdr:colOff>
      <xdr:row>47</xdr:row>
      <xdr:rowOff>73376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48BD5F4-D28B-45A8-9038-116AD1902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abSelected="1" zoomScale="179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5" sqref="B5"/>
    </sheetView>
  </sheetViews>
  <sheetFormatPr baseColWidth="10" defaultColWidth="8.6640625" defaultRowHeight="15" x14ac:dyDescent="0.2"/>
  <cols>
    <col min="1" max="1" width="28" customWidth="1"/>
    <col min="2" max="5" width="18" customWidth="1"/>
    <col min="6" max="6" width="2" customWidth="1"/>
  </cols>
  <sheetData>
    <row r="1" spans="1:5" ht="36" customHeight="1" x14ac:dyDescent="0.2">
      <c r="A1" s="2" t="s">
        <v>90</v>
      </c>
      <c r="B1" s="2"/>
      <c r="C1" s="2"/>
      <c r="D1" s="2"/>
      <c r="E1" s="2"/>
    </row>
    <row r="2" spans="1:5" ht="7" customHeight="1" x14ac:dyDescent="0.2"/>
    <row r="3" spans="1:5" ht="19.5" customHeight="1" x14ac:dyDescent="0.2">
      <c r="A3" s="1" t="s">
        <v>86</v>
      </c>
      <c r="B3" s="76"/>
      <c r="C3" s="76"/>
      <c r="D3" s="76"/>
      <c r="E3" s="76"/>
    </row>
    <row r="4" spans="1:5" ht="18" customHeight="1" x14ac:dyDescent="0.2">
      <c r="A4" s="3" t="s">
        <v>78</v>
      </c>
      <c r="B4" s="4"/>
      <c r="C4" s="84"/>
      <c r="D4" s="84"/>
      <c r="E4" s="84"/>
    </row>
    <row r="5" spans="1:5" ht="18" customHeight="1" x14ac:dyDescent="0.2">
      <c r="A5" s="3" t="s">
        <v>0</v>
      </c>
      <c r="B5" s="6"/>
      <c r="C5" s="85"/>
      <c r="D5" s="85"/>
      <c r="E5" s="85"/>
    </row>
    <row r="6" spans="1:5" ht="18" customHeight="1" x14ac:dyDescent="0.2">
      <c r="A6" s="5" t="s">
        <v>1</v>
      </c>
      <c r="B6" s="4"/>
      <c r="C6" s="84"/>
      <c r="D6" s="84"/>
      <c r="E6" s="84"/>
    </row>
    <row r="7" spans="1:5" ht="18" customHeight="1" x14ac:dyDescent="0.2">
      <c r="A7" s="3" t="s">
        <v>2</v>
      </c>
      <c r="B7" s="6"/>
      <c r="C7" s="85"/>
      <c r="D7" s="85"/>
      <c r="E7" s="85"/>
    </row>
    <row r="8" spans="1:5" ht="18" customHeight="1" x14ac:dyDescent="0.2">
      <c r="A8" s="5" t="s">
        <v>3</v>
      </c>
      <c r="B8" s="4"/>
      <c r="C8" s="84"/>
      <c r="D8" s="84"/>
      <c r="E8" s="84"/>
    </row>
    <row r="9" spans="1:5" ht="18" customHeight="1" x14ac:dyDescent="0.2">
      <c r="A9" s="3" t="s">
        <v>4</v>
      </c>
      <c r="B9" s="6"/>
      <c r="C9" s="85"/>
      <c r="D9" s="85"/>
      <c r="E9" s="85"/>
    </row>
    <row r="10" spans="1:5" ht="18" customHeight="1" x14ac:dyDescent="0.2">
      <c r="A10" s="5" t="s">
        <v>5</v>
      </c>
      <c r="B10" s="4"/>
      <c r="C10" s="84"/>
      <c r="D10" s="84"/>
      <c r="E10" s="84"/>
    </row>
    <row r="11" spans="1:5" ht="13.5" customHeight="1" x14ac:dyDescent="0.2"/>
    <row r="12" spans="1:5" ht="19.5" customHeight="1" x14ac:dyDescent="0.2">
      <c r="A12" s="1" t="s">
        <v>88</v>
      </c>
      <c r="B12" s="76"/>
      <c r="C12" s="76"/>
      <c r="D12" s="76"/>
      <c r="E12" s="76"/>
    </row>
    <row r="13" spans="1:5" ht="21.75" customHeight="1" x14ac:dyDescent="0.2">
      <c r="A13" s="7" t="s">
        <v>79</v>
      </c>
      <c r="B13" s="7" t="s">
        <v>6</v>
      </c>
      <c r="C13" s="7" t="s">
        <v>7</v>
      </c>
      <c r="D13" s="7" t="s">
        <v>8</v>
      </c>
      <c r="E13" s="7" t="s">
        <v>9</v>
      </c>
    </row>
    <row r="14" spans="1:5" ht="21.75" customHeight="1" x14ac:dyDescent="0.2">
      <c r="A14" s="8">
        <v>2024</v>
      </c>
      <c r="B14" s="8">
        <v>19</v>
      </c>
      <c r="C14" s="8" t="s">
        <v>91</v>
      </c>
      <c r="D14" s="8" t="s">
        <v>80</v>
      </c>
      <c r="E14" s="8" t="s">
        <v>82</v>
      </c>
    </row>
    <row r="15" spans="1:5" ht="21.75" customHeight="1" x14ac:dyDescent="0.2">
      <c r="A15" s="8">
        <v>2025</v>
      </c>
      <c r="B15" s="9">
        <v>204</v>
      </c>
      <c r="C15" s="86"/>
      <c r="D15" s="9" t="s">
        <v>80</v>
      </c>
      <c r="E15" s="9" t="s">
        <v>98</v>
      </c>
    </row>
    <row r="17" spans="1:5" ht="23" customHeight="1" x14ac:dyDescent="0.2">
      <c r="A17" s="77" t="s">
        <v>89</v>
      </c>
      <c r="B17" s="78"/>
      <c r="C17" s="78"/>
      <c r="D17" s="78"/>
    </row>
    <row r="18" spans="1:5" ht="19.5" customHeight="1" x14ac:dyDescent="0.2">
      <c r="A18" s="10" t="s">
        <v>10</v>
      </c>
      <c r="B18" s="10">
        <v>2024</v>
      </c>
      <c r="C18" s="10">
        <v>2025</v>
      </c>
      <c r="D18" s="10" t="s">
        <v>11</v>
      </c>
      <c r="E18" t="s">
        <v>99</v>
      </c>
    </row>
    <row r="19" spans="1:5" ht="30" customHeight="1" x14ac:dyDescent="0.2">
      <c r="A19" s="3" t="s">
        <v>8</v>
      </c>
      <c r="B19" s="11" t="s">
        <v>80</v>
      </c>
      <c r="C19" s="11" t="s">
        <v>80</v>
      </c>
      <c r="D19" s="11" t="s">
        <v>81</v>
      </c>
    </row>
    <row r="20" spans="1:5" ht="30" customHeight="1" x14ac:dyDescent="0.2">
      <c r="A20" s="5" t="s">
        <v>12</v>
      </c>
      <c r="B20" s="12" t="s">
        <v>80</v>
      </c>
      <c r="C20" s="79" t="s">
        <v>80</v>
      </c>
      <c r="D20" s="12" t="s">
        <v>81</v>
      </c>
    </row>
    <row r="21" spans="1:5" ht="30" customHeight="1" x14ac:dyDescent="0.2">
      <c r="A21" s="3" t="s">
        <v>9</v>
      </c>
      <c r="B21" s="11" t="s">
        <v>82</v>
      </c>
      <c r="C21" s="11" t="s">
        <v>83</v>
      </c>
      <c r="D21" s="11" t="s">
        <v>92</v>
      </c>
    </row>
    <row r="22" spans="1:5" ht="30" customHeight="1" x14ac:dyDescent="0.2">
      <c r="A22" s="5" t="s">
        <v>13</v>
      </c>
      <c r="B22" s="12"/>
      <c r="C22" s="12"/>
      <c r="D22" s="12"/>
    </row>
    <row r="23" spans="1:5" ht="30" customHeight="1" x14ac:dyDescent="0.2">
      <c r="A23" s="3" t="s">
        <v>14</v>
      </c>
      <c r="B23" s="11" t="s">
        <v>84</v>
      </c>
      <c r="C23" s="11" t="s">
        <v>85</v>
      </c>
      <c r="D23" s="11" t="s">
        <v>93</v>
      </c>
    </row>
    <row r="24" spans="1:5" ht="33" customHeight="1" x14ac:dyDescent="0.2">
      <c r="A24" s="5" t="s">
        <v>15</v>
      </c>
      <c r="B24" s="12"/>
      <c r="C24" s="12"/>
      <c r="D24" s="12"/>
    </row>
    <row r="25" spans="1:5" ht="13.5" customHeight="1" x14ac:dyDescent="0.2"/>
    <row r="26" spans="1:5" ht="19.5" customHeight="1" x14ac:dyDescent="0.2"/>
    <row r="27" spans="1:5" ht="21.75" customHeight="1" x14ac:dyDescent="0.2">
      <c r="A27" s="13" t="s">
        <v>94</v>
      </c>
      <c r="B27" s="80"/>
      <c r="C27" s="14" t="s">
        <v>95</v>
      </c>
      <c r="D27" s="81"/>
    </row>
    <row r="28" spans="1:5" ht="21.75" customHeight="1" x14ac:dyDescent="0.2">
      <c r="A28" s="15"/>
      <c r="B28" s="15"/>
      <c r="C28" s="16"/>
      <c r="D28" s="16"/>
    </row>
    <row r="29" spans="1:5" ht="21.75" customHeight="1" x14ac:dyDescent="0.2">
      <c r="A29" s="17"/>
      <c r="B29" s="17"/>
      <c r="C29" s="18"/>
      <c r="D29" s="18"/>
    </row>
    <row r="30" spans="1:5" x14ac:dyDescent="0.2">
      <c r="A30" s="15"/>
      <c r="B30" s="15"/>
      <c r="C30" s="16"/>
      <c r="D30" s="16"/>
    </row>
    <row r="31" spans="1:5" x14ac:dyDescent="0.2">
      <c r="A31" s="17"/>
      <c r="B31" s="17"/>
      <c r="C31" s="18"/>
      <c r="D31" s="18"/>
    </row>
    <row r="32" spans="1:5" x14ac:dyDescent="0.2">
      <c r="A32" s="15"/>
      <c r="B32" s="15"/>
      <c r="C32" s="16"/>
      <c r="D32" s="16"/>
    </row>
    <row r="35" spans="1:5" x14ac:dyDescent="0.2">
      <c r="A35" s="19" t="s">
        <v>96</v>
      </c>
      <c r="B35" s="82"/>
      <c r="C35" s="20" t="s">
        <v>97</v>
      </c>
      <c r="D35" s="83"/>
      <c r="E35" s="83"/>
    </row>
    <row r="36" spans="1:5" x14ac:dyDescent="0.2">
      <c r="A36" s="21"/>
      <c r="B36" s="21"/>
      <c r="C36" s="22"/>
      <c r="D36" s="22"/>
      <c r="E36" s="22"/>
    </row>
    <row r="37" spans="1:5" x14ac:dyDescent="0.2">
      <c r="A37" s="21"/>
      <c r="B37" s="21"/>
      <c r="C37" s="22"/>
      <c r="D37" s="22"/>
      <c r="E37" s="22"/>
    </row>
    <row r="38" spans="1:5" x14ac:dyDescent="0.2">
      <c r="A38" s="21"/>
      <c r="B38" s="21"/>
      <c r="C38" s="22"/>
      <c r="D38" s="22"/>
      <c r="E38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showGridLines="0" zoomScale="117" zoomScaleNormal="90" workbookViewId="0">
      <pane xSplit="1" ySplit="2" topLeftCell="B16" activePane="bottomRight" state="frozen"/>
      <selection pane="topRight" activeCell="B1" sqref="B1"/>
      <selection pane="bottomLeft" activeCell="A4" sqref="A4"/>
      <selection pane="bottomRight" activeCell="B30" sqref="B30:D38"/>
    </sheetView>
  </sheetViews>
  <sheetFormatPr baseColWidth="10" defaultColWidth="8.6640625" defaultRowHeight="15" x14ac:dyDescent="0.2"/>
  <cols>
    <col min="1" max="1" width="9.5" customWidth="1"/>
    <col min="2" max="3" width="34" customWidth="1"/>
    <col min="4" max="4" width="20" customWidth="1"/>
    <col min="5" max="5" width="18" customWidth="1"/>
    <col min="6" max="6" width="20" customWidth="1"/>
  </cols>
  <sheetData>
    <row r="1" spans="1:5" ht="36" customHeight="1" x14ac:dyDescent="0.2">
      <c r="A1" s="87" t="s">
        <v>16</v>
      </c>
      <c r="B1" s="87"/>
      <c r="C1" s="87"/>
      <c r="D1" s="87"/>
      <c r="E1" s="87"/>
    </row>
    <row r="2" spans="1:5" ht="16" customHeight="1" x14ac:dyDescent="0.2"/>
    <row r="3" spans="1:5" ht="21.75" customHeight="1" x14ac:dyDescent="0.2">
      <c r="A3" s="23" t="s">
        <v>17</v>
      </c>
      <c r="B3" s="23" t="s">
        <v>6</v>
      </c>
      <c r="C3" s="23" t="s">
        <v>7</v>
      </c>
      <c r="D3" s="23" t="s">
        <v>18</v>
      </c>
      <c r="E3" s="23" t="s">
        <v>19</v>
      </c>
    </row>
    <row r="4" spans="1:5" ht="18" customHeight="1" x14ac:dyDescent="0.2">
      <c r="A4" s="3"/>
      <c r="B4" s="24"/>
      <c r="C4" s="25"/>
      <c r="D4" s="26"/>
      <c r="E4" s="27"/>
    </row>
    <row r="5" spans="1:5" ht="18" customHeight="1" x14ac:dyDescent="0.2">
      <c r="A5" s="5"/>
      <c r="B5" s="28"/>
      <c r="C5" s="29"/>
      <c r="D5" s="30"/>
      <c r="E5" s="31"/>
    </row>
    <row r="6" spans="1:5" ht="18" customHeight="1" x14ac:dyDescent="0.2">
      <c r="A6" s="3"/>
      <c r="B6" s="24"/>
      <c r="C6" s="25"/>
      <c r="D6" s="26"/>
      <c r="E6" s="32"/>
    </row>
    <row r="7" spans="1:5" ht="18" customHeight="1" x14ac:dyDescent="0.2">
      <c r="A7" s="5"/>
      <c r="B7" s="28"/>
      <c r="C7" s="29"/>
      <c r="D7" s="30"/>
      <c r="E7" s="31"/>
    </row>
    <row r="8" spans="1:5" ht="18" customHeight="1" x14ac:dyDescent="0.2">
      <c r="A8" s="3"/>
      <c r="B8" s="24"/>
      <c r="C8" s="25"/>
      <c r="D8" s="26"/>
      <c r="E8" s="32"/>
    </row>
    <row r="9" spans="1:5" ht="18" customHeight="1" x14ac:dyDescent="0.2">
      <c r="A9" s="5"/>
      <c r="B9" s="28"/>
      <c r="C9" s="29"/>
      <c r="D9" s="30"/>
      <c r="E9" s="31"/>
    </row>
    <row r="10" spans="1:5" ht="18" customHeight="1" x14ac:dyDescent="0.2">
      <c r="A10" s="3"/>
      <c r="B10" s="24"/>
      <c r="C10" s="25"/>
      <c r="D10" s="26"/>
      <c r="E10" s="32"/>
    </row>
    <row r="11" spans="1:5" ht="18" customHeight="1" x14ac:dyDescent="0.2">
      <c r="A11" s="5"/>
      <c r="B11" s="28"/>
      <c r="C11" s="29"/>
      <c r="D11" s="30"/>
      <c r="E11" s="31"/>
    </row>
    <row r="12" spans="1:5" ht="18" customHeight="1" x14ac:dyDescent="0.2">
      <c r="A12" s="3"/>
      <c r="B12" s="24"/>
      <c r="C12" s="25"/>
      <c r="D12" s="26"/>
      <c r="E12" s="32"/>
    </row>
    <row r="13" spans="1:5" ht="18" customHeight="1" x14ac:dyDescent="0.2">
      <c r="A13" s="33"/>
      <c r="B13" s="34"/>
      <c r="C13" s="35"/>
      <c r="D13" s="36"/>
      <c r="E13" s="37"/>
    </row>
    <row r="14" spans="1:5" ht="18" customHeight="1" x14ac:dyDescent="0.2">
      <c r="A14" s="38"/>
      <c r="B14" s="39"/>
      <c r="C14" s="40"/>
      <c r="D14" s="41"/>
      <c r="E14" s="42"/>
    </row>
    <row r="15" spans="1:5" ht="18" customHeight="1" x14ac:dyDescent="0.2">
      <c r="A15" s="33"/>
      <c r="B15" s="34"/>
      <c r="C15" s="35"/>
      <c r="D15" s="36"/>
      <c r="E15" s="37"/>
    </row>
    <row r="16" spans="1:5" ht="18" customHeight="1" x14ac:dyDescent="0.2">
      <c r="A16" s="38"/>
      <c r="B16" s="39"/>
      <c r="C16" s="40"/>
      <c r="D16" s="41"/>
      <c r="E16" s="42"/>
    </row>
    <row r="17" spans="1:6" ht="18" customHeight="1" x14ac:dyDescent="0.2">
      <c r="A17" s="33"/>
      <c r="B17" s="34"/>
      <c r="C17" s="35"/>
      <c r="D17" s="36"/>
      <c r="E17" s="37"/>
    </row>
    <row r="18" spans="1:6" ht="18" customHeight="1" x14ac:dyDescent="0.2">
      <c r="A18" s="38"/>
      <c r="B18" s="39"/>
      <c r="C18" s="40"/>
      <c r="D18" s="41"/>
      <c r="E18" s="42"/>
    </row>
    <row r="19" spans="1:6" ht="18" customHeight="1" x14ac:dyDescent="0.2">
      <c r="A19" s="33"/>
      <c r="B19" s="34"/>
      <c r="C19" s="35"/>
      <c r="D19" s="36"/>
      <c r="E19" s="37"/>
    </row>
    <row r="20" spans="1:6" ht="18" customHeight="1" x14ac:dyDescent="0.2">
      <c r="A20" s="38"/>
      <c r="B20" s="39"/>
      <c r="C20" s="40"/>
      <c r="D20" s="41"/>
      <c r="E20" s="42"/>
    </row>
    <row r="21" spans="1:6" ht="18" customHeight="1" x14ac:dyDescent="0.2">
      <c r="A21" s="33"/>
      <c r="B21" s="34"/>
      <c r="C21" s="35"/>
      <c r="D21" s="36"/>
      <c r="E21" s="37"/>
    </row>
    <row r="22" spans="1:6" ht="18" customHeight="1" x14ac:dyDescent="0.2">
      <c r="A22" s="38"/>
      <c r="B22" s="39"/>
      <c r="C22" s="40"/>
      <c r="D22" s="41"/>
      <c r="E22" s="42"/>
    </row>
    <row r="23" spans="1:6" ht="18" customHeight="1" x14ac:dyDescent="0.2">
      <c r="A23" s="33"/>
      <c r="B23" s="34"/>
      <c r="C23" s="35"/>
      <c r="D23" s="36"/>
      <c r="E23" s="37"/>
    </row>
    <row r="24" spans="1:6" ht="18" customHeight="1" x14ac:dyDescent="0.2">
      <c r="A24" s="38"/>
      <c r="B24" s="39"/>
      <c r="C24" s="40"/>
      <c r="D24" s="41"/>
      <c r="E24" s="42"/>
    </row>
    <row r="25" spans="1:6" ht="19.5" customHeight="1" x14ac:dyDescent="0.2">
      <c r="A25" s="43" t="s">
        <v>20</v>
      </c>
      <c r="B25" s="44">
        <f>SUM(B4:B24)</f>
        <v>0</v>
      </c>
      <c r="C25" s="45">
        <f>SUM(C4:C24)</f>
        <v>0</v>
      </c>
      <c r="D25" s="45" t="e">
        <f t="shared" ref="D25" si="0">C25/B25</f>
        <v>#DIV/0!</v>
      </c>
      <c r="E25" s="46"/>
    </row>
    <row r="28" spans="1:6" ht="17" x14ac:dyDescent="0.2">
      <c r="A28" s="88" t="s">
        <v>21</v>
      </c>
      <c r="B28" s="88"/>
      <c r="C28" s="88"/>
      <c r="D28" s="88"/>
      <c r="E28" s="88"/>
      <c r="F28" s="88"/>
    </row>
    <row r="29" spans="1:6" ht="28" x14ac:dyDescent="0.2">
      <c r="A29" s="47" t="s">
        <v>22</v>
      </c>
      <c r="B29" s="47" t="s">
        <v>23</v>
      </c>
      <c r="C29" s="47" t="s">
        <v>24</v>
      </c>
      <c r="D29" s="47" t="s">
        <v>7</v>
      </c>
      <c r="E29" s="47" t="s">
        <v>25</v>
      </c>
    </row>
    <row r="30" spans="1:6" x14ac:dyDescent="0.2">
      <c r="A30" s="48">
        <v>1</v>
      </c>
      <c r="B30" s="49"/>
      <c r="C30" s="50"/>
      <c r="D30" s="51"/>
      <c r="E30" s="52" t="e">
        <f>D30/C25</f>
        <v>#DIV/0!</v>
      </c>
    </row>
    <row r="31" spans="1:6" x14ac:dyDescent="0.2">
      <c r="A31" s="53">
        <v>2</v>
      </c>
      <c r="B31" s="54"/>
      <c r="C31" s="55"/>
      <c r="D31" s="56"/>
      <c r="E31" s="57" t="e">
        <f>D31/C25</f>
        <v>#DIV/0!</v>
      </c>
    </row>
    <row r="32" spans="1:6" x14ac:dyDescent="0.2">
      <c r="A32" s="48">
        <v>3</v>
      </c>
      <c r="B32" s="49"/>
      <c r="C32" s="50"/>
      <c r="D32" s="51"/>
      <c r="E32" s="52" t="e">
        <f>D32/C25</f>
        <v>#DIV/0!</v>
      </c>
    </row>
    <row r="33" spans="1:6" x14ac:dyDescent="0.2">
      <c r="A33" s="53">
        <v>4</v>
      </c>
      <c r="B33" s="54"/>
      <c r="C33" s="55"/>
      <c r="D33" s="56"/>
      <c r="E33" s="57" t="e">
        <f>D33/C25</f>
        <v>#DIV/0!</v>
      </c>
    </row>
    <row r="34" spans="1:6" x14ac:dyDescent="0.2">
      <c r="A34" s="48">
        <v>5</v>
      </c>
      <c r="B34" s="49"/>
      <c r="C34" s="50"/>
      <c r="D34" s="51"/>
      <c r="E34" s="52" t="e">
        <f>D34/C25</f>
        <v>#DIV/0!</v>
      </c>
    </row>
    <row r="35" spans="1:6" x14ac:dyDescent="0.2">
      <c r="A35" s="53">
        <v>6</v>
      </c>
      <c r="B35" s="54"/>
      <c r="C35" s="55"/>
      <c r="D35" s="56"/>
      <c r="E35" s="57" t="e">
        <f>D35/C25</f>
        <v>#DIV/0!</v>
      </c>
    </row>
    <row r="36" spans="1:6" x14ac:dyDescent="0.2">
      <c r="A36" s="48">
        <v>7</v>
      </c>
      <c r="B36" s="49"/>
      <c r="C36" s="50"/>
      <c r="D36" s="51"/>
      <c r="E36" s="52" t="e">
        <f>D36/C25</f>
        <v>#DIV/0!</v>
      </c>
    </row>
    <row r="37" spans="1:6" x14ac:dyDescent="0.2">
      <c r="A37" s="53">
        <v>8</v>
      </c>
      <c r="B37" s="54"/>
      <c r="C37" s="55"/>
      <c r="D37" s="56"/>
      <c r="E37" s="57" t="e">
        <f>D37/C25</f>
        <v>#DIV/0!</v>
      </c>
    </row>
    <row r="38" spans="1:6" x14ac:dyDescent="0.2">
      <c r="A38" s="48">
        <v>9</v>
      </c>
      <c r="B38" s="49"/>
      <c r="C38" s="50"/>
      <c r="D38" s="51"/>
      <c r="E38" s="52" t="e">
        <f>D38/C25</f>
        <v>#DIV/0!</v>
      </c>
    </row>
    <row r="39" spans="1:6" x14ac:dyDescent="0.2">
      <c r="A39" s="53">
        <v>10</v>
      </c>
      <c r="B39" s="54"/>
      <c r="C39" s="55"/>
      <c r="D39" s="56"/>
      <c r="E39" s="57" t="e">
        <f>D39/C25</f>
        <v>#DIV/0!</v>
      </c>
    </row>
    <row r="40" spans="1:6" x14ac:dyDescent="0.2">
      <c r="A40" s="89" t="s">
        <v>26</v>
      </c>
      <c r="B40" s="89"/>
      <c r="C40" s="89"/>
      <c r="D40" s="58">
        <f>SUM(D30:D39)</f>
        <v>0</v>
      </c>
      <c r="E40" s="59" t="e">
        <f>SUM(E30:E39)</f>
        <v>#DIV/0!</v>
      </c>
    </row>
    <row r="43" spans="1:6" ht="17" x14ac:dyDescent="0.2">
      <c r="A43" s="88" t="s">
        <v>27</v>
      </c>
      <c r="B43" s="88"/>
      <c r="C43" s="88"/>
      <c r="D43" s="88"/>
      <c r="E43" s="88"/>
      <c r="F43" s="88"/>
    </row>
    <row r="44" spans="1:6" ht="28" x14ac:dyDescent="0.2">
      <c r="A44" s="47" t="s">
        <v>22</v>
      </c>
      <c r="B44" s="47" t="s">
        <v>28</v>
      </c>
      <c r="C44" s="47" t="s">
        <v>29</v>
      </c>
      <c r="D44" s="47" t="s">
        <v>7</v>
      </c>
      <c r="E44" s="47" t="s">
        <v>25</v>
      </c>
    </row>
    <row r="45" spans="1:6" x14ac:dyDescent="0.2">
      <c r="A45" s="48">
        <v>1</v>
      </c>
      <c r="B45" s="49"/>
      <c r="C45" s="50"/>
      <c r="D45" s="51"/>
      <c r="E45" s="52" t="e">
        <f>D45/SUM(D45:D54)</f>
        <v>#DIV/0!</v>
      </c>
    </row>
    <row r="46" spans="1:6" x14ac:dyDescent="0.2">
      <c r="A46" s="53">
        <v>2</v>
      </c>
      <c r="B46" s="54"/>
      <c r="C46" s="55"/>
      <c r="D46" s="56"/>
      <c r="E46" s="57" t="e">
        <f>D46/SUM(D45:D54)</f>
        <v>#DIV/0!</v>
      </c>
    </row>
    <row r="47" spans="1:6" x14ac:dyDescent="0.2">
      <c r="A47" s="48">
        <v>3</v>
      </c>
      <c r="B47" s="49"/>
      <c r="C47" s="50"/>
      <c r="D47" s="51"/>
      <c r="E47" s="52" t="e">
        <f>D47/SUM(D45:D54)</f>
        <v>#DIV/0!</v>
      </c>
    </row>
    <row r="48" spans="1:6" x14ac:dyDescent="0.2">
      <c r="A48" s="53">
        <v>4</v>
      </c>
      <c r="B48" s="54"/>
      <c r="C48" s="55"/>
      <c r="D48" s="56"/>
      <c r="E48" s="57" t="e">
        <f>D48/SUM(D45:D54)</f>
        <v>#DIV/0!</v>
      </c>
    </row>
    <row r="49" spans="1:5" x14ac:dyDescent="0.2">
      <c r="A49" s="48">
        <v>5</v>
      </c>
      <c r="B49" s="49"/>
      <c r="C49" s="50"/>
      <c r="D49" s="51"/>
      <c r="E49" s="52" t="e">
        <f>D49/SUM(D45:D54)</f>
        <v>#DIV/0!</v>
      </c>
    </row>
    <row r="50" spans="1:5" x14ac:dyDescent="0.2">
      <c r="A50" s="53">
        <v>6</v>
      </c>
      <c r="B50" s="54"/>
      <c r="C50" s="55"/>
      <c r="D50" s="56"/>
      <c r="E50" s="57" t="e">
        <f>D50/SUM(D45:D54)</f>
        <v>#DIV/0!</v>
      </c>
    </row>
    <row r="51" spans="1:5" x14ac:dyDescent="0.2">
      <c r="A51" s="48">
        <v>7</v>
      </c>
      <c r="B51" s="49"/>
      <c r="C51" s="50"/>
      <c r="D51" s="51"/>
      <c r="E51" s="52" t="e">
        <f>D51/SUM(D45:D54)</f>
        <v>#DIV/0!</v>
      </c>
    </row>
    <row r="52" spans="1:5" x14ac:dyDescent="0.2">
      <c r="A52" s="53">
        <v>8</v>
      </c>
      <c r="B52" s="54"/>
      <c r="C52" s="55"/>
      <c r="D52" s="56"/>
      <c r="E52" s="57" t="e">
        <f>D52/SUM(D45:D54)</f>
        <v>#DIV/0!</v>
      </c>
    </row>
    <row r="53" spans="1:5" x14ac:dyDescent="0.2">
      <c r="A53" s="48">
        <v>9</v>
      </c>
      <c r="B53" s="49"/>
      <c r="C53" s="50"/>
      <c r="D53" s="51"/>
      <c r="E53" s="52" t="e">
        <f>D53/SUM(D45:D54)</f>
        <v>#DIV/0!</v>
      </c>
    </row>
    <row r="54" spans="1:5" x14ac:dyDescent="0.2">
      <c r="A54" s="53">
        <v>10</v>
      </c>
      <c r="B54" s="54"/>
      <c r="C54" s="55"/>
      <c r="D54" s="56"/>
      <c r="E54" s="57" t="e">
        <f>D54/SUM(D45:D54)</f>
        <v>#DIV/0!</v>
      </c>
    </row>
    <row r="55" spans="1:5" x14ac:dyDescent="0.2">
      <c r="A55" s="89" t="s">
        <v>30</v>
      </c>
      <c r="B55" s="89"/>
      <c r="C55" s="89"/>
      <c r="D55" s="58">
        <f>SUM(D45:D54)</f>
        <v>0</v>
      </c>
      <c r="E55" s="59" t="e">
        <f>SUM(E45:E54)</f>
        <v>#DIV/0!</v>
      </c>
    </row>
  </sheetData>
  <mergeCells count="5">
    <mergeCell ref="A1:E1"/>
    <mergeCell ref="A28:F28"/>
    <mergeCell ref="A40:C40"/>
    <mergeCell ref="A43:F43"/>
    <mergeCell ref="A55:C5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7" sqref="C7"/>
    </sheetView>
  </sheetViews>
  <sheetFormatPr baseColWidth="10" defaultColWidth="8.6640625" defaultRowHeight="15" x14ac:dyDescent="0.2"/>
  <cols>
    <col min="1" max="1" width="2" customWidth="1"/>
    <col min="2" max="2" width="29.6640625" customWidth="1"/>
    <col min="3" max="3" width="18" customWidth="1"/>
    <col min="4" max="6" width="16" customWidth="1"/>
    <col min="7" max="7" width="2" customWidth="1"/>
  </cols>
  <sheetData>
    <row r="1" spans="2:6" ht="7.5" customHeight="1" x14ac:dyDescent="0.2"/>
    <row r="2" spans="2:6" ht="36" customHeight="1" x14ac:dyDescent="0.2">
      <c r="B2" s="87" t="s">
        <v>31</v>
      </c>
      <c r="C2" s="87"/>
      <c r="D2" s="87"/>
      <c r="E2" s="87"/>
      <c r="F2" s="87"/>
    </row>
    <row r="3" spans="2:6" ht="7.5" customHeight="1" x14ac:dyDescent="0.2"/>
    <row r="4" spans="2:6" ht="20" customHeight="1" x14ac:dyDescent="0.2">
      <c r="B4" s="90" t="s">
        <v>87</v>
      </c>
      <c r="C4" s="90"/>
      <c r="D4" s="90"/>
      <c r="E4" s="90"/>
      <c r="F4" s="90"/>
    </row>
    <row r="5" spans="2:6" ht="18" customHeight="1" x14ac:dyDescent="0.2">
      <c r="B5" s="10" t="s">
        <v>10</v>
      </c>
      <c r="C5" s="10" t="s">
        <v>32</v>
      </c>
      <c r="D5" s="10" t="s">
        <v>33</v>
      </c>
      <c r="E5" s="91"/>
      <c r="F5" s="91"/>
    </row>
    <row r="6" spans="2:6" ht="18" customHeight="1" x14ac:dyDescent="0.2">
      <c r="B6" s="3" t="s">
        <v>34</v>
      </c>
      <c r="C6" s="11"/>
      <c r="D6" s="11"/>
      <c r="E6" s="11"/>
      <c r="F6" s="11"/>
    </row>
    <row r="7" spans="2:6" ht="18" customHeight="1" x14ac:dyDescent="0.2">
      <c r="B7" s="5" t="s">
        <v>35</v>
      </c>
      <c r="C7" s="12"/>
      <c r="D7" s="12"/>
      <c r="E7" s="12"/>
      <c r="F7" s="12"/>
    </row>
    <row r="8" spans="2:6" ht="18" customHeight="1" x14ac:dyDescent="0.2">
      <c r="B8" s="3" t="s">
        <v>36</v>
      </c>
      <c r="C8" s="11"/>
      <c r="D8" s="11"/>
      <c r="E8" s="11"/>
      <c r="F8" s="11"/>
    </row>
    <row r="9" spans="2:6" ht="18" customHeight="1" x14ac:dyDescent="0.2">
      <c r="B9" s="5" t="s">
        <v>37</v>
      </c>
      <c r="C9" s="12"/>
      <c r="D9" s="12"/>
      <c r="E9" s="12"/>
      <c r="F9" s="12"/>
    </row>
    <row r="10" spans="2:6" ht="18" customHeight="1" x14ac:dyDescent="0.2">
      <c r="B10" s="3" t="s">
        <v>38</v>
      </c>
      <c r="C10" s="11"/>
      <c r="D10" s="11"/>
      <c r="E10" s="11"/>
      <c r="F10" s="11"/>
    </row>
    <row r="11" spans="2:6" ht="18" customHeight="1" x14ac:dyDescent="0.2">
      <c r="B11" s="5" t="s">
        <v>39</v>
      </c>
      <c r="C11" s="12"/>
      <c r="D11" s="12"/>
      <c r="E11" s="12"/>
      <c r="F11" s="12"/>
    </row>
    <row r="12" spans="2:6" ht="18" customHeight="1" x14ac:dyDescent="0.2">
      <c r="B12" s="3" t="s">
        <v>40</v>
      </c>
      <c r="C12" s="11"/>
      <c r="D12" s="11"/>
      <c r="E12" s="11"/>
      <c r="F12" s="11"/>
    </row>
    <row r="13" spans="2:6" ht="18" customHeight="1" x14ac:dyDescent="0.2">
      <c r="B13" s="5" t="s">
        <v>41</v>
      </c>
      <c r="C13" s="12"/>
      <c r="D13" s="12"/>
      <c r="E13" s="12"/>
      <c r="F13" s="12"/>
    </row>
    <row r="14" spans="2:6" ht="18" customHeight="1" x14ac:dyDescent="0.2">
      <c r="B14" s="3" t="s">
        <v>42</v>
      </c>
      <c r="C14" s="11"/>
      <c r="D14" s="11"/>
      <c r="E14" s="11"/>
      <c r="F14" s="11"/>
    </row>
    <row r="16" spans="2:6" ht="19.5" customHeight="1" x14ac:dyDescent="0.2">
      <c r="B16" s="90" t="s">
        <v>43</v>
      </c>
      <c r="C16" s="90"/>
      <c r="D16" s="90"/>
      <c r="E16" s="90"/>
      <c r="F16" s="90"/>
    </row>
    <row r="17" spans="2:6" ht="18" customHeight="1" x14ac:dyDescent="0.2">
      <c r="B17" s="23" t="s">
        <v>44</v>
      </c>
      <c r="C17" s="23" t="s">
        <v>45</v>
      </c>
      <c r="D17" s="23" t="s">
        <v>46</v>
      </c>
      <c r="E17" s="23" t="s">
        <v>47</v>
      </c>
      <c r="F17" s="23" t="s">
        <v>48</v>
      </c>
    </row>
    <row r="18" spans="2:6" ht="15.75" customHeight="1" x14ac:dyDescent="0.2">
      <c r="B18" s="11"/>
      <c r="C18" s="24"/>
      <c r="D18" s="60"/>
      <c r="E18" s="60"/>
      <c r="F18" s="60"/>
    </row>
    <row r="19" spans="2:6" ht="15.75" customHeight="1" x14ac:dyDescent="0.2">
      <c r="B19" s="12"/>
      <c r="C19" s="28"/>
      <c r="D19" s="61"/>
      <c r="E19" s="61"/>
      <c r="F19" s="61"/>
    </row>
    <row r="20" spans="2:6" ht="15.75" customHeight="1" x14ac:dyDescent="0.2">
      <c r="B20" s="11"/>
      <c r="C20" s="24"/>
      <c r="D20" s="60"/>
      <c r="E20" s="60"/>
      <c r="F20" s="60"/>
    </row>
    <row r="21" spans="2:6" ht="15.75" customHeight="1" x14ac:dyDescent="0.2">
      <c r="B21" s="12"/>
      <c r="C21" s="28"/>
      <c r="D21" s="61"/>
      <c r="E21" s="61"/>
      <c r="F21" s="61"/>
    </row>
    <row r="22" spans="2:6" ht="15.75" customHeight="1" x14ac:dyDescent="0.2">
      <c r="B22" s="11"/>
      <c r="C22" s="24"/>
      <c r="D22" s="60"/>
      <c r="E22" s="60"/>
      <c r="F22" s="60"/>
    </row>
    <row r="23" spans="2:6" ht="15.75" customHeight="1" x14ac:dyDescent="0.2">
      <c r="B23" s="12"/>
      <c r="C23" s="28"/>
      <c r="D23" s="61"/>
      <c r="E23" s="61"/>
      <c r="F23" s="61"/>
    </row>
    <row r="24" spans="2:6" ht="15.75" customHeight="1" x14ac:dyDescent="0.2">
      <c r="B24" s="11"/>
      <c r="C24" s="24"/>
      <c r="D24" s="60"/>
      <c r="E24" s="60"/>
      <c r="F24" s="60"/>
    </row>
    <row r="25" spans="2:6" ht="15.75" customHeight="1" x14ac:dyDescent="0.2">
      <c r="B25" s="12"/>
      <c r="C25" s="28"/>
      <c r="D25" s="61"/>
      <c r="E25" s="61"/>
      <c r="F25" s="61"/>
    </row>
    <row r="26" spans="2:6" ht="15.75" customHeight="1" x14ac:dyDescent="0.2">
      <c r="B26" s="11"/>
      <c r="C26" s="24"/>
      <c r="D26" s="60"/>
      <c r="E26" s="60"/>
      <c r="F26" s="60"/>
    </row>
    <row r="27" spans="2:6" ht="15.75" customHeight="1" x14ac:dyDescent="0.2">
      <c r="B27" s="12"/>
      <c r="C27" s="28"/>
      <c r="D27" s="61"/>
      <c r="E27" s="61"/>
      <c r="F27" s="61"/>
    </row>
    <row r="28" spans="2:6" ht="15.75" customHeight="1" x14ac:dyDescent="0.2">
      <c r="B28" s="11"/>
      <c r="C28" s="24"/>
      <c r="D28" s="60"/>
      <c r="E28" s="60"/>
      <c r="F28" s="60"/>
    </row>
    <row r="29" spans="2:6" ht="15.75" customHeight="1" x14ac:dyDescent="0.2">
      <c r="B29" s="12"/>
      <c r="C29" s="28"/>
      <c r="D29" s="61"/>
      <c r="E29" s="61"/>
      <c r="F29" s="61"/>
    </row>
    <row r="30" spans="2:6" ht="15.75" customHeight="1" x14ac:dyDescent="0.2">
      <c r="B30" s="11"/>
      <c r="C30" s="24"/>
      <c r="D30" s="60"/>
      <c r="E30" s="60"/>
      <c r="F30" s="60"/>
    </row>
    <row r="31" spans="2:6" ht="15.75" customHeight="1" x14ac:dyDescent="0.2">
      <c r="B31" s="12"/>
      <c r="C31" s="28"/>
      <c r="D31" s="61"/>
      <c r="E31" s="61"/>
      <c r="F31" s="61"/>
    </row>
    <row r="32" spans="2:6" ht="15.75" customHeight="1" x14ac:dyDescent="0.2">
      <c r="B32" s="11"/>
      <c r="C32" s="24"/>
      <c r="D32" s="60"/>
      <c r="E32" s="60"/>
      <c r="F32" s="60"/>
    </row>
    <row r="33" spans="2:6" ht="15.75" customHeight="1" x14ac:dyDescent="0.2">
      <c r="B33" s="12"/>
      <c r="C33" s="28"/>
      <c r="D33" s="61"/>
      <c r="E33" s="61"/>
      <c r="F33" s="61"/>
    </row>
    <row r="34" spans="2:6" ht="15.75" customHeight="1" x14ac:dyDescent="0.2">
      <c r="B34" s="11"/>
      <c r="C34" s="24"/>
      <c r="D34" s="60"/>
      <c r="E34" s="60"/>
      <c r="F34" s="60"/>
    </row>
    <row r="35" spans="2:6" ht="15.75" customHeight="1" x14ac:dyDescent="0.2">
      <c r="B35" s="12"/>
      <c r="C35" s="28"/>
      <c r="D35" s="61"/>
      <c r="E35" s="61"/>
      <c r="F35" s="61"/>
    </row>
    <row r="36" spans="2:6" ht="15.75" customHeight="1" x14ac:dyDescent="0.2">
      <c r="B36" s="11"/>
      <c r="C36" s="24"/>
      <c r="D36" s="60"/>
      <c r="E36" s="60"/>
      <c r="F36" s="60"/>
    </row>
    <row r="37" spans="2:6" ht="15.75" customHeight="1" x14ac:dyDescent="0.2">
      <c r="B37" s="12"/>
      <c r="C37" s="28"/>
      <c r="D37" s="61"/>
      <c r="E37" s="61"/>
      <c r="F37" s="61"/>
    </row>
    <row r="38" spans="2:6" ht="15.75" customHeight="1" x14ac:dyDescent="0.2">
      <c r="B38" s="11"/>
      <c r="C38" s="24"/>
      <c r="D38" s="60"/>
      <c r="E38" s="60"/>
      <c r="F38" s="60"/>
    </row>
    <row r="39" spans="2:6" ht="15.75" customHeight="1" x14ac:dyDescent="0.2">
      <c r="B39" s="12"/>
      <c r="C39" s="28"/>
      <c r="D39" s="61"/>
      <c r="E39" s="61"/>
      <c r="F39" s="61"/>
    </row>
    <row r="40" spans="2:6" ht="15.75" customHeight="1" x14ac:dyDescent="0.2">
      <c r="B40" s="11"/>
      <c r="C40" s="24"/>
      <c r="D40" s="60"/>
      <c r="E40" s="60"/>
      <c r="F40" s="60"/>
    </row>
    <row r="41" spans="2:6" ht="15.75" customHeight="1" x14ac:dyDescent="0.2">
      <c r="B41" s="12"/>
      <c r="C41" s="28"/>
      <c r="D41" s="61"/>
      <c r="E41" s="61"/>
      <c r="F41" s="61"/>
    </row>
    <row r="42" spans="2:6" ht="15.75" customHeight="1" x14ac:dyDescent="0.2">
      <c r="B42" s="11"/>
      <c r="C42" s="24"/>
      <c r="D42" s="60"/>
      <c r="E42" s="60"/>
      <c r="F42" s="60"/>
    </row>
    <row r="43" spans="2:6" ht="15.75" customHeight="1" x14ac:dyDescent="0.2">
      <c r="B43" s="12"/>
      <c r="C43" s="28"/>
      <c r="D43" s="61"/>
      <c r="E43" s="61"/>
      <c r="F43" s="61"/>
    </row>
    <row r="44" spans="2:6" ht="15.75" customHeight="1" x14ac:dyDescent="0.2">
      <c r="B44" s="11"/>
      <c r="C44" s="24"/>
      <c r="D44" s="60"/>
      <c r="E44" s="60"/>
      <c r="F44" s="60"/>
    </row>
    <row r="45" spans="2:6" ht="15.75" customHeight="1" x14ac:dyDescent="0.2">
      <c r="B45" s="12"/>
      <c r="C45" s="28"/>
      <c r="D45" s="61"/>
      <c r="E45" s="61"/>
      <c r="F45" s="61"/>
    </row>
    <row r="46" spans="2:6" ht="15.75" customHeight="1" x14ac:dyDescent="0.2">
      <c r="B46" s="11"/>
      <c r="C46" s="24"/>
      <c r="D46" s="60"/>
      <c r="E46" s="60"/>
      <c r="F46" s="60"/>
    </row>
    <row r="47" spans="2:6" ht="15.75" customHeight="1" x14ac:dyDescent="0.2">
      <c r="B47" s="12"/>
      <c r="C47" s="28"/>
      <c r="D47" s="61"/>
      <c r="E47" s="61"/>
      <c r="F47" s="61"/>
    </row>
  </sheetData>
  <mergeCells count="4">
    <mergeCell ref="B16:F16"/>
    <mergeCell ref="B2:F2"/>
    <mergeCell ref="B4:F4"/>
    <mergeCell ref="E5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3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7" sqref="F37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4" width="20" customWidth="1"/>
    <col min="5" max="5" width="2" customWidth="1"/>
  </cols>
  <sheetData>
    <row r="1" spans="2:4" ht="7.5" customHeight="1" x14ac:dyDescent="0.2"/>
    <row r="2" spans="2:4" ht="36" customHeight="1" x14ac:dyDescent="0.2">
      <c r="B2" s="87" t="s">
        <v>49</v>
      </c>
      <c r="C2" s="87"/>
      <c r="D2" s="87"/>
    </row>
    <row r="3" spans="2:4" ht="7.5" customHeight="1" x14ac:dyDescent="0.2"/>
    <row r="4" spans="2:4" ht="19.5" customHeight="1" x14ac:dyDescent="0.2">
      <c r="B4" s="90" t="s">
        <v>50</v>
      </c>
      <c r="C4" s="90"/>
      <c r="D4" s="90"/>
    </row>
    <row r="5" spans="2:4" ht="18" customHeight="1" x14ac:dyDescent="0.2">
      <c r="B5" s="10" t="s">
        <v>51</v>
      </c>
      <c r="C5" s="10" t="s">
        <v>32</v>
      </c>
      <c r="D5" s="10" t="s">
        <v>33</v>
      </c>
    </row>
    <row r="6" spans="2:4" ht="18" customHeight="1" x14ac:dyDescent="0.2">
      <c r="B6" s="3" t="s">
        <v>52</v>
      </c>
      <c r="C6" s="60"/>
      <c r="D6" s="62"/>
    </row>
    <row r="7" spans="2:4" ht="18" customHeight="1" x14ac:dyDescent="0.2">
      <c r="B7" s="5" t="s">
        <v>53</v>
      </c>
      <c r="C7" s="61"/>
      <c r="D7" s="63"/>
    </row>
    <row r="8" spans="2:4" ht="18" customHeight="1" x14ac:dyDescent="0.2">
      <c r="B8" s="3" t="s">
        <v>54</v>
      </c>
      <c r="C8" s="60"/>
      <c r="D8" s="62"/>
    </row>
    <row r="9" spans="2:4" ht="18" customHeight="1" x14ac:dyDescent="0.2">
      <c r="B9" s="5" t="s">
        <v>55</v>
      </c>
      <c r="C9" s="61"/>
      <c r="D9" s="61"/>
    </row>
    <row r="10" spans="2:4" ht="18" customHeight="1" x14ac:dyDescent="0.2">
      <c r="B10" s="3" t="s">
        <v>56</v>
      </c>
      <c r="C10" s="60"/>
      <c r="D10" s="62"/>
    </row>
    <row r="11" spans="2:4" ht="18" customHeight="1" x14ac:dyDescent="0.2">
      <c r="B11" s="5" t="s">
        <v>57</v>
      </c>
      <c r="C11" s="61"/>
      <c r="D11" s="63"/>
    </row>
    <row r="12" spans="2:4" ht="18" customHeight="1" x14ac:dyDescent="0.2">
      <c r="B12" s="3" t="s">
        <v>58</v>
      </c>
      <c r="C12" s="60"/>
      <c r="D12" s="62"/>
    </row>
    <row r="13" spans="2:4" ht="18" customHeight="1" x14ac:dyDescent="0.2">
      <c r="B13" s="5" t="s">
        <v>59</v>
      </c>
      <c r="C13" s="61"/>
      <c r="D13" s="61"/>
    </row>
    <row r="16" spans="2:4" ht="19.5" customHeight="1" x14ac:dyDescent="0.2">
      <c r="B16" s="90" t="s">
        <v>60</v>
      </c>
      <c r="C16" s="90"/>
      <c r="D16" s="90"/>
    </row>
    <row r="17" spans="2:4" ht="18" customHeight="1" x14ac:dyDescent="0.2">
      <c r="B17" s="10" t="s">
        <v>10</v>
      </c>
      <c r="C17" s="10" t="s">
        <v>61</v>
      </c>
      <c r="D17" s="64"/>
    </row>
    <row r="18" spans="2:4" ht="18" customHeight="1" x14ac:dyDescent="0.2">
      <c r="B18" s="3" t="s">
        <v>62</v>
      </c>
      <c r="C18" s="11"/>
      <c r="D18" s="65"/>
    </row>
    <row r="19" spans="2:4" ht="18" customHeight="1" x14ac:dyDescent="0.2">
      <c r="B19" s="5" t="s">
        <v>63</v>
      </c>
      <c r="C19" s="12"/>
      <c r="D19" s="66"/>
    </row>
    <row r="20" spans="2:4" ht="18" customHeight="1" x14ac:dyDescent="0.2">
      <c r="B20" s="3" t="s">
        <v>64</v>
      </c>
      <c r="C20" s="11"/>
      <c r="D20" s="65"/>
    </row>
    <row r="21" spans="2:4" ht="18" customHeight="1" x14ac:dyDescent="0.2">
      <c r="B21" s="5" t="s">
        <v>65</v>
      </c>
      <c r="C21" s="12"/>
      <c r="D21" s="66"/>
    </row>
    <row r="22" spans="2:4" ht="18" customHeight="1" x14ac:dyDescent="0.2">
      <c r="B22" s="3" t="s">
        <v>66</v>
      </c>
      <c r="C22" s="11"/>
      <c r="D22" s="65"/>
    </row>
    <row r="23" spans="2:4" ht="18" customHeight="1" x14ac:dyDescent="0.2">
      <c r="B23" s="67" t="s">
        <v>67</v>
      </c>
      <c r="C23" s="68"/>
      <c r="D23" s="69"/>
    </row>
  </sheetData>
  <mergeCells count="3">
    <mergeCell ref="B2:D2"/>
    <mergeCell ref="B4:D4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3"/>
  <sheetViews>
    <sheetView showGridLines="0" zoomScale="111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4" width="18" customWidth="1"/>
    <col min="5" max="5" width="2" customWidth="1"/>
  </cols>
  <sheetData>
    <row r="1" spans="2:4" ht="7.5" customHeight="1" x14ac:dyDescent="0.2"/>
    <row r="2" spans="2:4" ht="36" customHeight="1" x14ac:dyDescent="0.2">
      <c r="B2" s="87" t="s">
        <v>68</v>
      </c>
      <c r="C2" s="87"/>
      <c r="D2" s="87"/>
    </row>
    <row r="3" spans="2:4" ht="7.5" customHeight="1" x14ac:dyDescent="0.2"/>
    <row r="4" spans="2:4" ht="19.5" customHeight="1" x14ac:dyDescent="0.2">
      <c r="B4" s="90" t="s">
        <v>69</v>
      </c>
      <c r="C4" s="90"/>
      <c r="D4" s="90"/>
    </row>
    <row r="5" spans="2:4" ht="18" customHeight="1" x14ac:dyDescent="0.2">
      <c r="B5" s="10" t="s">
        <v>28</v>
      </c>
      <c r="C5" s="10" t="s">
        <v>70</v>
      </c>
      <c r="D5" s="10" t="s">
        <v>71</v>
      </c>
    </row>
    <row r="6" spans="2:4" ht="18" customHeight="1" x14ac:dyDescent="0.2">
      <c r="B6" s="3" t="s">
        <v>72</v>
      </c>
      <c r="C6" s="24"/>
      <c r="D6" s="62"/>
    </row>
    <row r="7" spans="2:4" ht="18" customHeight="1" x14ac:dyDescent="0.2">
      <c r="B7" s="70" t="s">
        <v>73</v>
      </c>
      <c r="C7" s="71"/>
      <c r="D7" s="72"/>
    </row>
    <row r="8" spans="2:4" ht="18" customHeight="1" x14ac:dyDescent="0.2">
      <c r="B8" s="70" t="s">
        <v>74</v>
      </c>
      <c r="C8" s="71"/>
      <c r="D8" s="72"/>
    </row>
    <row r="9" spans="2:4" ht="18" customHeight="1" x14ac:dyDescent="0.2">
      <c r="B9" s="73" t="s">
        <v>75</v>
      </c>
      <c r="C9" s="74"/>
      <c r="D9" s="75"/>
    </row>
    <row r="10" spans="2:4" ht="18" customHeight="1" x14ac:dyDescent="0.2">
      <c r="B10" s="73" t="s">
        <v>76</v>
      </c>
      <c r="C10" s="74"/>
      <c r="D10" s="75"/>
    </row>
    <row r="11" spans="2:4" ht="18" customHeight="1" x14ac:dyDescent="0.2">
      <c r="B11" s="5"/>
      <c r="C11" s="28"/>
      <c r="D11" s="63"/>
    </row>
    <row r="13" spans="2:4" ht="36" customHeight="1" x14ac:dyDescent="0.2">
      <c r="B13" s="92" t="s">
        <v>77</v>
      </c>
      <c r="C13" s="92"/>
      <c r="D13" s="92"/>
    </row>
  </sheetData>
  <mergeCells count="3">
    <mergeCell ref="B2:D2"/>
    <mergeCell ref="B4:D4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📊 Übersicht</vt:lpstr>
      <vt:lpstr>📈 Umsatz</vt:lpstr>
      <vt:lpstr>⚖️ Parität</vt:lpstr>
      <vt:lpstr>🔄 Retouren &amp; Verzüge</vt:lpstr>
      <vt:lpstr>🛒 Sortiment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Haag</cp:lastModifiedBy>
  <cp:revision>2</cp:revision>
  <dcterms:created xsi:type="dcterms:W3CDTF">2026-03-05T08:43:31Z</dcterms:created>
  <dcterms:modified xsi:type="dcterms:W3CDTF">2026-03-10T14:17:37Z</dcterms:modified>
  <dc:language>en-US</dc:language>
</cp:coreProperties>
</file>